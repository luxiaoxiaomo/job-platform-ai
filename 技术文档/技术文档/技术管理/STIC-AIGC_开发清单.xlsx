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updateLinks="always"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C\Desktop\STIC-AIGC项目\技术管理\"/>
    </mc:Choice>
  </mc:AlternateContent>
  <xr:revisionPtr revIDLastSave="0" documentId="13_ncr:1_{FB68DC1A-FCF1-4DD0-8CB4-73B2C6DC710D}" xr6:coauthVersionLast="36" xr6:coauthVersionMax="36" xr10:uidLastSave="{00000000-0000-0000-0000-000000000000}"/>
  <bookViews>
    <workbookView xWindow="-108" yWindow="-108" windowWidth="23256" windowHeight="12576" tabRatio="491" firstSheet="1" activeTab="1" xr2:uid="{00000000-000D-0000-FFFF-FFFF00000000}"/>
  </bookViews>
  <sheets>
    <sheet name="Knight" sheetId="37" state="veryHidden" r:id="rId1"/>
    <sheet name="开发清单" sheetId="28" r:id="rId2"/>
    <sheet name="标准化产品清单" sheetId="36" state="hidden" r:id="rId3"/>
    <sheet name="说明和分析" sheetId="33" r:id="rId4"/>
    <sheet name="附 人天说明" sheetId="30" state="hidden" r:id="rId5"/>
    <sheet name="进度分析" sheetId="35" r:id="rId6"/>
    <sheet name="Lookups" sheetId="3" r:id="rId7"/>
  </sheets>
  <externalReferences>
    <externalReference r:id="rId8"/>
  </externalReferences>
  <definedNames>
    <definedName name="_xlnm._FilterDatabase" localSheetId="1" hidden="1">开发清单!$A$2:$XDP$23</definedName>
    <definedName name="Build_Days">Lookups!$F$32:$I$43</definedName>
    <definedName name="Check_Status">Lookups!$J$2:$J$6</definedName>
    <definedName name="Design_Days">Lookups!$B$32:$E$43</definedName>
    <definedName name="DevTypes">Lookups!$AA$2:$AA$8</definedName>
    <definedName name="Division">Lookups!$N$2:$N$4</definedName>
    <definedName name="Index_Cols">Lookups!$G$2:$H$6</definedName>
    <definedName name="Index_Rows">Lookups!$D$2:$E$27</definedName>
    <definedName name="LU_Level_Metrics">Lookups!$U$2:$V$20</definedName>
    <definedName name="LU_Ratings">Lookups!$B$2:$B$6</definedName>
    <definedName name="LU_Types">Lookups!$A$2:$A$27</definedName>
    <definedName name="Mode">Lookups!$P$2:$P$4</definedName>
    <definedName name="Resource_Level">Lookups!$R$1</definedName>
    <definedName name="Resource_Rows">Lookups!$X$2</definedName>
    <definedName name="Resources">Lookups!$R$2:$R$4</definedName>
    <definedName name="Status">Lookups!$L$2:$L$12</definedName>
    <definedName name="Upgrade_Days">Lookups!$J$32:$J$43</definedName>
    <definedName name="XDATA">开发清单!$B$2:$AW$3</definedName>
    <definedName name="Yes_no">Lookups!$Y$2:$Y$3</definedName>
  </definedNames>
  <calcPr calcId="191029"/>
  <pivotCaches>
    <pivotCache cacheId="0" r:id="rId9"/>
    <pivotCache cacheId="1" r:id="rId10"/>
    <pivotCache cacheId="2" r:id="rId11"/>
  </pivotCaches>
</workbook>
</file>

<file path=xl/calcChain.xml><?xml version="1.0" encoding="utf-8"?>
<calcChain xmlns="http://schemas.openxmlformats.org/spreadsheetml/2006/main">
  <c r="BG30" i="28" l="1"/>
  <c r="AE30" i="28"/>
  <c r="BG29" i="28"/>
  <c r="AE29" i="28"/>
  <c r="BG28" i="28"/>
  <c r="AE28" i="28"/>
  <c r="O30" i="28"/>
  <c r="Q30" i="28"/>
  <c r="P30" i="28"/>
  <c r="O29" i="28"/>
  <c r="P29" i="28"/>
  <c r="Q29" i="28"/>
  <c r="O28" i="28"/>
  <c r="Q28" i="28"/>
  <c r="P28" i="28"/>
  <c r="V30" i="28" l="1"/>
  <c r="T30" i="28"/>
  <c r="BH30" i="28" s="1"/>
  <c r="W30" i="28"/>
  <c r="U30" i="28"/>
  <c r="S30" i="28"/>
  <c r="R30" i="28"/>
  <c r="X30" i="28"/>
  <c r="V29" i="28"/>
  <c r="T29" i="28"/>
  <c r="BH29" i="28" s="1"/>
  <c r="W29" i="28"/>
  <c r="U29" i="28"/>
  <c r="S29" i="28"/>
  <c r="R29" i="28"/>
  <c r="X29" i="28"/>
  <c r="T28" i="28"/>
  <c r="BH28" i="28" s="1"/>
  <c r="V28" i="28"/>
  <c r="W28" i="28"/>
  <c r="S28" i="28"/>
  <c r="R28" i="28"/>
  <c r="X28" i="28"/>
  <c r="U28" i="28"/>
  <c r="BG27" i="28"/>
  <c r="AE27" i="28"/>
  <c r="BG26" i="28"/>
  <c r="AE26" i="28"/>
  <c r="BG25" i="28"/>
  <c r="AE25" i="28"/>
  <c r="BG24" i="28"/>
  <c r="AE24" i="28"/>
  <c r="AA30" i="28" l="1"/>
  <c r="AC30" i="28" s="1"/>
  <c r="Y30" i="28"/>
  <c r="Z30" i="28"/>
  <c r="Z29" i="28"/>
  <c r="AA29" i="28"/>
  <c r="AC29" i="28" s="1"/>
  <c r="Y29" i="28"/>
  <c r="Z28" i="28"/>
  <c r="AA28" i="28"/>
  <c r="AC28" i="28" s="1"/>
  <c r="Y28" i="28"/>
  <c r="BG5" i="28"/>
  <c r="BG6" i="28"/>
  <c r="BG7" i="28"/>
  <c r="BG8" i="28"/>
  <c r="BG9" i="28"/>
  <c r="BG10" i="28"/>
  <c r="BG11" i="28"/>
  <c r="BG12" i="28"/>
  <c r="BG13" i="28"/>
  <c r="BG14" i="28"/>
  <c r="BG15" i="28"/>
  <c r="BG16" i="28"/>
  <c r="BG17" i="28"/>
  <c r="BG18" i="28"/>
  <c r="BG19" i="28"/>
  <c r="BG20" i="28"/>
  <c r="BG21" i="28"/>
  <c r="BG22" i="28"/>
  <c r="BG23" i="28"/>
  <c r="BG4" i="28"/>
  <c r="AE9" i="28" l="1"/>
  <c r="AE10" i="28"/>
  <c r="AE11" i="28"/>
  <c r="AE12" i="28"/>
  <c r="AE13" i="28"/>
  <c r="AE14" i="28"/>
  <c r="AE15" i="28"/>
  <c r="AE16" i="28"/>
  <c r="AE17" i="28"/>
  <c r="AE18" i="28"/>
  <c r="AE19" i="28"/>
  <c r="AE20" i="28"/>
  <c r="AE21" i="28"/>
  <c r="AE22" i="28"/>
  <c r="AE23" i="28"/>
  <c r="X2" i="3" l="1"/>
  <c r="P27" i="28"/>
  <c r="P17" i="28"/>
  <c r="P19" i="28"/>
  <c r="Q22" i="28"/>
  <c r="O20" i="28"/>
  <c r="Q23" i="28"/>
  <c r="P4" i="28"/>
  <c r="O18" i="28"/>
  <c r="O14" i="28"/>
  <c r="O25" i="28"/>
  <c r="P24" i="28"/>
  <c r="Q27" i="28"/>
  <c r="P13" i="28"/>
  <c r="P16" i="28"/>
  <c r="Q13" i="28"/>
  <c r="Q20" i="28"/>
  <c r="O4" i="28"/>
  <c r="O6" i="28"/>
  <c r="O17" i="28"/>
  <c r="Q25" i="28"/>
  <c r="P25" i="28"/>
  <c r="O11" i="28"/>
  <c r="Q9" i="28"/>
  <c r="Q21" i="28"/>
  <c r="Q12" i="28"/>
  <c r="O19" i="28"/>
  <c r="Q4" i="28"/>
  <c r="O24" i="28"/>
  <c r="Q26" i="28"/>
  <c r="O27" i="28"/>
  <c r="P21" i="28"/>
  <c r="P22" i="28"/>
  <c r="Q17" i="28"/>
  <c r="P15" i="28"/>
  <c r="O15" i="28"/>
  <c r="Q14" i="28"/>
  <c r="P11" i="28"/>
  <c r="P26" i="28"/>
  <c r="O21" i="28"/>
  <c r="O5" i="28"/>
  <c r="O23" i="28"/>
  <c r="P20" i="28"/>
  <c r="Q19" i="28"/>
  <c r="O8" i="28"/>
  <c r="O7" i="28"/>
  <c r="O9" i="28"/>
  <c r="Q24" i="28"/>
  <c r="O10" i="28"/>
  <c r="Q18" i="28"/>
  <c r="P14" i="28"/>
  <c r="Q15" i="28"/>
  <c r="Q16" i="28"/>
  <c r="P9" i="28"/>
  <c r="P10" i="28"/>
  <c r="Q11" i="28"/>
  <c r="O26" i="28"/>
  <c r="P18" i="28"/>
  <c r="O22" i="28"/>
  <c r="Q10" i="28"/>
  <c r="O16" i="28"/>
  <c r="P12" i="28"/>
  <c r="O12" i="28"/>
  <c r="P23" i="28"/>
  <c r="O13" i="28"/>
  <c r="W27" i="28" l="1"/>
  <c r="S27" i="28"/>
  <c r="U27" i="28"/>
  <c r="R27" i="28"/>
  <c r="X27" i="28"/>
  <c r="T25" i="28"/>
  <c r="BH25" i="28" s="1"/>
  <c r="V25" i="28"/>
  <c r="R24" i="28"/>
  <c r="U24" i="28"/>
  <c r="W24" i="28"/>
  <c r="S24" i="28"/>
  <c r="X24" i="28"/>
  <c r="V27" i="28"/>
  <c r="T27" i="28"/>
  <c r="BH27" i="28" s="1"/>
  <c r="W26" i="28"/>
  <c r="R26" i="28"/>
  <c r="U26" i="28"/>
  <c r="X26" i="28"/>
  <c r="S26" i="28"/>
  <c r="T26" i="28"/>
  <c r="BH26" i="28" s="1"/>
  <c r="V26" i="28"/>
  <c r="T24" i="28"/>
  <c r="BH24" i="28" s="1"/>
  <c r="V24" i="28"/>
  <c r="W25" i="28"/>
  <c r="S25" i="28"/>
  <c r="X25" i="28"/>
  <c r="R25" i="28"/>
  <c r="U25" i="28"/>
  <c r="S20" i="28"/>
  <c r="W20" i="28"/>
  <c r="X20" i="28"/>
  <c r="R20" i="28"/>
  <c r="U20" i="28"/>
  <c r="T16" i="28"/>
  <c r="BH16" i="28" s="1"/>
  <c r="V16" i="28"/>
  <c r="U15" i="28"/>
  <c r="X15" i="28"/>
  <c r="S15" i="28"/>
  <c r="W15" i="28"/>
  <c r="R15" i="28"/>
  <c r="V15" i="28"/>
  <c r="T15" i="28"/>
  <c r="BH15" i="28" s="1"/>
  <c r="U13" i="28"/>
  <c r="R13" i="28"/>
  <c r="X13" i="28"/>
  <c r="S13" i="28"/>
  <c r="W13" i="28"/>
  <c r="W14" i="28"/>
  <c r="R14" i="28"/>
  <c r="U14" i="28"/>
  <c r="X14" i="28"/>
  <c r="S14" i="28"/>
  <c r="V23" i="28"/>
  <c r="T23" i="28"/>
  <c r="BH23" i="28" s="1"/>
  <c r="V20" i="28"/>
  <c r="T20" i="28"/>
  <c r="BH20" i="28" s="1"/>
  <c r="W21" i="28"/>
  <c r="X21" i="28"/>
  <c r="S21" i="28"/>
  <c r="R21" i="28"/>
  <c r="U21" i="28"/>
  <c r="T13" i="28"/>
  <c r="BH13" i="28" s="1"/>
  <c r="V13" i="28"/>
  <c r="X16" i="28"/>
  <c r="U16" i="28"/>
  <c r="W16" i="28"/>
  <c r="R16" i="28"/>
  <c r="S16" i="28"/>
  <c r="V14" i="28"/>
  <c r="T14" i="28"/>
  <c r="BH14" i="28" s="1"/>
  <c r="V22" i="28"/>
  <c r="T22" i="28"/>
  <c r="BH22" i="28" s="1"/>
  <c r="T21" i="28"/>
  <c r="BH21" i="28" s="1"/>
  <c r="V21" i="28"/>
  <c r="V19" i="28"/>
  <c r="X22" i="28"/>
  <c r="W22" i="28"/>
  <c r="S22" i="28"/>
  <c r="R22" i="28"/>
  <c r="U22" i="28"/>
  <c r="S23" i="28"/>
  <c r="X23" i="28"/>
  <c r="W23" i="28"/>
  <c r="R23" i="28"/>
  <c r="U23" i="28"/>
  <c r="X18" i="28"/>
  <c r="X12" i="28"/>
  <c r="X10" i="28"/>
  <c r="X19" i="28"/>
  <c r="X17" i="28"/>
  <c r="X11" i="28"/>
  <c r="X9" i="28"/>
  <c r="W18" i="28"/>
  <c r="W19" i="28"/>
  <c r="W17" i="28"/>
  <c r="V10" i="28"/>
  <c r="V9" i="28"/>
  <c r="V12" i="28"/>
  <c r="V18" i="28"/>
  <c r="V17" i="28"/>
  <c r="V11" i="28"/>
  <c r="S18" i="28"/>
  <c r="S12" i="28"/>
  <c r="S10" i="28"/>
  <c r="S19" i="28"/>
  <c r="S17" i="28"/>
  <c r="S11" i="28"/>
  <c r="S9" i="28"/>
  <c r="U18" i="28"/>
  <c r="U12" i="28"/>
  <c r="U10" i="28"/>
  <c r="U19" i="28"/>
  <c r="U17" i="28"/>
  <c r="U11" i="28"/>
  <c r="U9" i="28"/>
  <c r="T19" i="28"/>
  <c r="BH19" i="28" s="1"/>
  <c r="T18" i="28"/>
  <c r="BH18" i="28" s="1"/>
  <c r="T17" i="28"/>
  <c r="BH17" i="28" s="1"/>
  <c r="R18" i="28"/>
  <c r="R12" i="28"/>
  <c r="R10" i="28"/>
  <c r="R19" i="28"/>
  <c r="R17" i="28"/>
  <c r="R11" i="28"/>
  <c r="R9" i="28"/>
  <c r="T10" i="28"/>
  <c r="BH10" i="28" s="1"/>
  <c r="T9" i="28"/>
  <c r="BH9" i="28" s="1"/>
  <c r="T12" i="28"/>
  <c r="BH12" i="28" s="1"/>
  <c r="W12" i="28"/>
  <c r="W10" i="28"/>
  <c r="W11" i="28"/>
  <c r="W9" i="28"/>
  <c r="T11" i="28"/>
  <c r="BH11" i="28" s="1"/>
  <c r="R4" i="28"/>
  <c r="S4" i="28"/>
  <c r="U4" i="28"/>
  <c r="W4" i="28"/>
  <c r="T4" i="28"/>
  <c r="BH4" i="28" s="1"/>
  <c r="V4" i="28"/>
  <c r="Z25" i="28" l="1"/>
  <c r="Z26" i="28"/>
  <c r="Z24" i="28"/>
  <c r="Z27" i="28"/>
  <c r="AA25" i="28"/>
  <c r="AC25" i="28" s="1"/>
  <c r="Y25" i="28"/>
  <c r="AA26" i="28"/>
  <c r="AC26" i="28" s="1"/>
  <c r="Y26" i="28"/>
  <c r="AA24" i="28"/>
  <c r="AC24" i="28" s="1"/>
  <c r="Y24" i="28"/>
  <c r="AA27" i="28"/>
  <c r="AC27" i="28" s="1"/>
  <c r="Y27" i="28"/>
  <c r="Z20" i="28"/>
  <c r="Z23" i="28"/>
  <c r="Z22" i="28"/>
  <c r="Z16" i="28"/>
  <c r="Z21" i="28"/>
  <c r="Z14" i="28"/>
  <c r="Z15" i="28"/>
  <c r="AA23" i="28"/>
  <c r="AC23" i="28" s="1"/>
  <c r="Y23" i="28"/>
  <c r="AA22" i="28"/>
  <c r="AC22" i="28" s="1"/>
  <c r="Y22" i="28"/>
  <c r="Y14" i="28"/>
  <c r="AA14" i="28"/>
  <c r="AC14" i="28" s="1"/>
  <c r="Z13" i="28"/>
  <c r="AA16" i="28"/>
  <c r="AC16" i="28" s="1"/>
  <c r="Y16" i="28"/>
  <c r="AA13" i="28"/>
  <c r="AC13" i="28" s="1"/>
  <c r="Y13" i="28"/>
  <c r="AA15" i="28"/>
  <c r="AC15" i="28" s="1"/>
  <c r="Y15" i="28"/>
  <c r="AA21" i="28"/>
  <c r="AC21" i="28" s="1"/>
  <c r="Y21" i="28"/>
  <c r="Y20" i="28"/>
  <c r="AA20" i="28"/>
  <c r="AC20" i="28" s="1"/>
  <c r="Z18" i="28"/>
  <c r="Y9" i="28"/>
  <c r="AA9" i="28"/>
  <c r="AC9" i="28" s="1"/>
  <c r="AA17" i="28"/>
  <c r="AC17" i="28" s="1"/>
  <c r="AA11" i="28"/>
  <c r="AC11" i="28" s="1"/>
  <c r="AA19" i="28"/>
  <c r="AC19" i="28" s="1"/>
  <c r="AA10" i="28"/>
  <c r="AC10" i="28" s="1"/>
  <c r="AA12" i="28"/>
  <c r="AC12" i="28" s="1"/>
  <c r="AA18" i="28"/>
  <c r="AC18" i="28" s="1"/>
  <c r="Z9" i="28"/>
  <c r="Z11" i="28"/>
  <c r="Z17" i="28"/>
  <c r="Z19" i="28"/>
  <c r="Z10" i="28"/>
  <c r="Z12" i="28"/>
  <c r="Y11" i="28"/>
  <c r="Y17" i="28"/>
  <c r="Y19" i="28"/>
  <c r="Y10" i="28"/>
  <c r="Y12" i="28"/>
  <c r="Y18" i="28"/>
  <c r="J44" i="3"/>
  <c r="I44" i="3"/>
  <c r="H44" i="3"/>
  <c r="G44" i="3"/>
  <c r="F44" i="3"/>
  <c r="E44" i="3"/>
  <c r="D44" i="3"/>
  <c r="C44" i="3"/>
  <c r="B44" i="3"/>
  <c r="AE8" i="28"/>
  <c r="AE7" i="28"/>
  <c r="AE6" i="28"/>
  <c r="AE5" i="28"/>
  <c r="AE4" i="28"/>
  <c r="BF3" i="28"/>
  <c r="BE3" i="28"/>
  <c r="BD3" i="28"/>
  <c r="BC3" i="28"/>
  <c r="BB3" i="28"/>
  <c r="BB2" i="28" s="1"/>
  <c r="BA2" i="28"/>
  <c r="BF2" i="28" l="1"/>
  <c r="AE1" i="28"/>
  <c r="BC2" i="28"/>
  <c r="BE2" i="28"/>
  <c r="BD2" i="28"/>
  <c r="X4" i="28" l="1"/>
  <c r="Y4" i="28" l="1"/>
  <c r="AA4" i="28"/>
  <c r="Z4" i="28"/>
  <c r="AC4" i="28" l="1"/>
  <c r="Q8" i="28"/>
  <c r="P5" i="28"/>
  <c r="P7" i="28"/>
  <c r="P6" i="28"/>
  <c r="Q6" i="28"/>
  <c r="Q5" i="28"/>
  <c r="Q7" i="28"/>
  <c r="P8" i="28"/>
  <c r="T5" i="28" l="1"/>
  <c r="BH5" i="28" s="1"/>
  <c r="W5" i="28"/>
  <c r="W6" i="28"/>
  <c r="W7" i="28"/>
  <c r="W8" i="28"/>
  <c r="T7" i="28"/>
  <c r="BH7" i="28" s="1"/>
  <c r="T8" i="28"/>
  <c r="BH8" i="28" s="1"/>
  <c r="T6" i="28"/>
  <c r="BH6" i="28" s="1"/>
  <c r="S5" i="28"/>
  <c r="O1" i="28"/>
  <c r="U5" i="28"/>
  <c r="R5" i="28"/>
  <c r="X5" i="28"/>
  <c r="Q1" i="28"/>
  <c r="V7" i="28"/>
  <c r="R6" i="28"/>
  <c r="X6" i="28"/>
  <c r="U6" i="28"/>
  <c r="S6" i="28"/>
  <c r="R7" i="28"/>
  <c r="X7" i="28"/>
  <c r="S7" i="28"/>
  <c r="U7" i="28"/>
  <c r="U8" i="28"/>
  <c r="X8" i="28"/>
  <c r="R8" i="28"/>
  <c r="S8" i="28"/>
  <c r="V8" i="28"/>
  <c r="V5" i="28"/>
  <c r="P1" i="28"/>
  <c r="V6" i="28"/>
  <c r="Z7" i="28" l="1"/>
  <c r="Z8" i="28"/>
  <c r="W1" i="28"/>
  <c r="AA7" i="28"/>
  <c r="AC7" i="28" s="1"/>
  <c r="Y7" i="28"/>
  <c r="R1" i="28"/>
  <c r="X1" i="28"/>
  <c r="V1" i="28"/>
  <c r="AA8" i="28"/>
  <c r="AC8" i="28" s="1"/>
  <c r="Y8" i="28"/>
  <c r="AA6" i="28"/>
  <c r="AC6" i="28" s="1"/>
  <c r="Y6" i="28"/>
  <c r="Z5" i="28"/>
  <c r="U1" i="28"/>
  <c r="T1" i="28"/>
  <c r="Z6" i="28"/>
  <c r="AA5" i="28"/>
  <c r="Y5" i="28"/>
  <c r="S1" i="28"/>
  <c r="Y1" i="28" l="1"/>
  <c r="Z1" i="28"/>
  <c r="AA1" i="28"/>
  <c r="AC5" i="28"/>
  <c r="AC1" i="2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Zhaoyang</author>
    <author>Jianhua</author>
    <author>think</author>
  </authors>
  <commentList>
    <comment ref="D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Zhaoyang:</t>
        </r>
        <r>
          <rPr>
            <sz val="9"/>
            <rFont val="宋体"/>
            <family val="3"/>
            <charset val="134"/>
          </rPr>
          <t xml:space="preserve">
功能编号，模块+序号，如PO-001</t>
        </r>
      </text>
    </comment>
    <comment ref="E2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Zhaoyang:</t>
        </r>
        <r>
          <rPr>
            <sz val="9"/>
            <rFont val="宋体"/>
            <family val="3"/>
            <charset val="134"/>
          </rPr>
          <t xml:space="preserve">
功能编号+序号，如PO-001-01、PO-001-02</t>
        </r>
      </text>
    </comment>
    <comment ref="H2" authorId="1" shapeId="0" xr:uid="{00000000-0006-0000-0100-000003000000}">
      <text>
        <r>
          <rPr>
            <sz val="9"/>
            <rFont val="宋体"/>
            <family val="3"/>
            <charset val="134"/>
          </rPr>
          <t>可以详细描述下开发原因、开发点、难点、思路、疑问等。但也要注意言简意赅。
可以参考哪个开发，如标准化、某个项目的开发等等。简洁说明下</t>
        </r>
      </text>
    </comment>
    <comment ref="N2" authorId="2" shapeId="0" xr:uid="{00000000-0006-0000-0100-000004000000}">
      <text>
        <r>
          <rPr>
            <b/>
            <sz val="9"/>
            <rFont val="宋体"/>
            <family val="3"/>
            <charset val="134"/>
          </rPr>
          <t>Xiaokang:</t>
        </r>
        <r>
          <rPr>
            <sz val="9"/>
            <rFont val="宋体"/>
            <family val="3"/>
            <charset val="134"/>
          </rPr>
          <t xml:space="preserve">
对于想灵活指定人天的可以使用Maintain</t>
        </r>
      </text>
    </comment>
    <comment ref="AT2" authorId="0" shapeId="0" xr:uid="{00000000-0006-0000-0100-000005000000}">
      <text>
        <r>
          <rPr>
            <b/>
            <sz val="9"/>
            <rFont val="宋体"/>
            <family val="3"/>
            <charset val="134"/>
          </rPr>
          <t>Zhaoyang:</t>
        </r>
        <r>
          <rPr>
            <sz val="9"/>
            <rFont val="宋体"/>
            <family val="3"/>
            <charset val="134"/>
          </rPr>
          <t xml:space="preserve">
增加备注，用以维护复查中的问题</t>
        </r>
      </text>
    </comment>
    <comment ref="BA2" authorId="1" shapeId="0" xr:uid="{00000000-0006-0000-0100-000006000000}">
      <text>
        <r>
          <rPr>
            <b/>
            <sz val="9"/>
            <rFont val="Tahoma"/>
            <family val="2"/>
          </rPr>
          <t>Jianhua: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月份，公式自动，请不要改</t>
        </r>
      </text>
    </comment>
    <comment ref="BA3" authorId="1" shapeId="0" xr:uid="{00000000-0006-0000-0100-000007000000}">
      <text>
        <r>
          <rPr>
            <b/>
            <sz val="9"/>
            <rFont val="Tahoma"/>
            <family val="2"/>
          </rPr>
          <t>Jianhua:</t>
        </r>
        <r>
          <rPr>
            <sz val="9"/>
            <rFont val="Tahoma"/>
            <family val="2"/>
          </rPr>
          <t xml:space="preserve">
</t>
        </r>
        <r>
          <rPr>
            <sz val="9"/>
            <rFont val="宋体"/>
            <family val="3"/>
            <charset val="134"/>
          </rPr>
          <t>日期，非数字哦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William SHI</author>
  </authors>
  <commentList>
    <comment ref="B33" authorId="0" shapeId="0" xr:uid="{00000000-0006-0000-0600-000001000000}">
      <text>
        <r>
          <rPr>
            <b/>
            <sz val="12"/>
            <rFont val="宋体"/>
            <family val="3"/>
            <charset val="134"/>
          </rPr>
          <t>William SHI:</t>
        </r>
        <r>
          <rPr>
            <sz val="12"/>
            <rFont val="宋体"/>
            <family val="3"/>
            <charset val="134"/>
          </rPr>
          <t xml:space="preserve">
Simple report consisting of one SQL statement.  Minimal formatting.一个简单报表由一个SQL语句，最少的格式组成。</t>
        </r>
      </text>
    </comment>
    <comment ref="C33" authorId="0" shapeId="0" xr:uid="{00000000-0006-0000-0600-000002000000}">
      <text>
        <r>
          <rPr>
            <b/>
            <sz val="12"/>
            <rFont val="宋体"/>
            <family val="3"/>
            <charset val="134"/>
          </rPr>
          <t>William SHI:</t>
        </r>
        <r>
          <rPr>
            <sz val="12"/>
            <rFont val="宋体"/>
            <family val="3"/>
            <charset val="134"/>
          </rPr>
          <t xml:space="preserve">
Some formatting and processing logic of one or two tables.对一个或两个表的一些格式和过程逻辑。</t>
        </r>
      </text>
    </comment>
    <comment ref="D33" authorId="0" shapeId="0" xr:uid="{00000000-0006-0000-0600-000003000000}">
      <text>
        <r>
          <rPr>
            <b/>
            <sz val="12"/>
            <rFont val="宋体"/>
            <family val="3"/>
            <charset val="134"/>
          </rPr>
          <t>William SHI:</t>
        </r>
        <r>
          <rPr>
            <sz val="12"/>
            <rFont val="宋体"/>
            <family val="3"/>
            <charset val="134"/>
          </rPr>
          <t xml:space="preserve">
Several tables queried (perhaps master-detail) and significant processing logic or formatting.一个表查询（可能是主---从查询）和重大的处理逻辑和格式。</t>
        </r>
      </text>
    </comment>
    <comment ref="E33" authorId="0" shapeId="0" xr:uid="{00000000-0006-0000-0600-000004000000}">
      <text>
        <r>
          <rPr>
            <b/>
            <sz val="12"/>
            <rFont val="宋体"/>
            <family val="3"/>
            <charset val="134"/>
          </rPr>
          <t>William SHI:</t>
        </r>
        <r>
          <rPr>
            <sz val="12"/>
            <rFont val="宋体"/>
            <family val="3"/>
            <charset val="134"/>
          </rPr>
          <t xml:space="preserve">
Complex processing logic and report formatting.  Multiple table reporting hierarchy or cross-tabulation.复杂处理逻辑和报表格式。多个表的报表层次或交叉表。</t>
        </r>
      </text>
    </comment>
    <comment ref="B34" authorId="0" shapeId="0" xr:uid="{00000000-0006-0000-0600-000005000000}">
      <text>
        <r>
          <rPr>
            <b/>
            <sz val="12"/>
            <rFont val="宋体"/>
            <family val="3"/>
            <charset val="134"/>
          </rPr>
          <t>William SHI:</t>
        </r>
        <r>
          <rPr>
            <sz val="12"/>
            <rFont val="宋体"/>
            <family val="3"/>
            <charset val="134"/>
          </rPr>
          <t xml:space="preserve">
Script that operates on a single table.  A database trigger that inserts a row into another table would be an example.对一个单独表的操作脚本。一个增加一个列到另一个表的数据库触发器将是一个例子</t>
        </r>
      </text>
    </comment>
    <comment ref="C34" authorId="0" shapeId="0" xr:uid="{00000000-0006-0000-0600-000006000000}">
      <text>
        <r>
          <rPr>
            <b/>
            <sz val="12"/>
            <rFont val="宋体"/>
            <family val="3"/>
            <charset val="134"/>
          </rPr>
          <t>William SHI:</t>
        </r>
        <r>
          <rPr>
            <sz val="12"/>
            <rFont val="宋体"/>
            <family val="3"/>
            <charset val="134"/>
          </rPr>
          <t xml:space="preserve">
Updates to 2-3 tables with minimal conditional logic or looping.更新2至3个表的以最少的条件逻辑或循环</t>
        </r>
      </text>
    </comment>
    <comment ref="D34" authorId="0" shapeId="0" xr:uid="{00000000-0006-0000-0600-000007000000}">
      <text>
        <r>
          <rPr>
            <b/>
            <sz val="12"/>
            <rFont val="宋体"/>
            <family val="3"/>
            <charset val="134"/>
          </rPr>
          <t>William SHI:</t>
        </r>
        <r>
          <rPr>
            <sz val="12"/>
            <rFont val="宋体"/>
            <family val="3"/>
            <charset val="134"/>
          </rPr>
          <t xml:space="preserve">
Updates to 3 or more tables with some conditional logic, calculations, and looping.更新3个以上表的以一些条件逻辑，计算和循环</t>
        </r>
      </text>
    </comment>
    <comment ref="E34" authorId="0" shapeId="0" xr:uid="{00000000-0006-0000-0600-000008000000}">
      <text>
        <r>
          <rPr>
            <b/>
            <sz val="12"/>
            <rFont val="宋体"/>
            <family val="3"/>
            <charset val="134"/>
          </rPr>
          <t>William SHI:</t>
        </r>
        <r>
          <rPr>
            <sz val="12"/>
            <rFont val="宋体"/>
            <family val="3"/>
            <charset val="134"/>
          </rPr>
          <t xml:space="preserve">
Updates to 5 or more tables with sophisticated conditional logic, calculations, and looping.更新5个表以上的以诡辩的条件逻辑，计算和循环。</t>
        </r>
      </text>
    </comment>
    <comment ref="B36" authorId="0" shapeId="0" xr:uid="{00000000-0006-0000-0600-000009000000}">
      <text>
        <r>
          <rPr>
            <b/>
            <sz val="12"/>
            <rFont val="宋体"/>
            <family val="3"/>
            <charset val="134"/>
          </rPr>
          <t>William SHI:</t>
        </r>
        <r>
          <rPr>
            <sz val="12"/>
            <rFont val="宋体"/>
            <family val="3"/>
            <charset val="134"/>
          </rPr>
          <t xml:space="preserve">
Script that operates on a single table.  A database trigger that inserts a row into another table would be an example.对一个单独表的操作脚本。一个增加一个列到另一个表的数据库触发器将是一个例子</t>
        </r>
      </text>
    </comment>
    <comment ref="C36" authorId="0" shapeId="0" xr:uid="{00000000-0006-0000-0600-00000A000000}">
      <text>
        <r>
          <rPr>
            <b/>
            <sz val="12"/>
            <rFont val="宋体"/>
            <family val="3"/>
            <charset val="134"/>
          </rPr>
          <t>William SHI:</t>
        </r>
        <r>
          <rPr>
            <sz val="12"/>
            <rFont val="宋体"/>
            <family val="3"/>
            <charset val="134"/>
          </rPr>
          <t xml:space="preserve">
Updates to 2-3 tables with minimal conditional logic or looping.更新2至3个表的以最少的条件逻辑或循环</t>
        </r>
      </text>
    </comment>
    <comment ref="D36" authorId="0" shapeId="0" xr:uid="{00000000-0006-0000-0600-00000B000000}">
      <text>
        <r>
          <rPr>
            <b/>
            <sz val="12"/>
            <rFont val="宋体"/>
            <family val="3"/>
            <charset val="134"/>
          </rPr>
          <t>William SHI:</t>
        </r>
        <r>
          <rPr>
            <sz val="12"/>
            <rFont val="宋体"/>
            <family val="3"/>
            <charset val="134"/>
          </rPr>
          <t xml:space="preserve">
Updates to 3 or more tables with some conditional logic, calculations, and looping.更新3个以上表的以一些条件逻辑，计算和循环</t>
        </r>
      </text>
    </comment>
    <comment ref="E36" authorId="0" shapeId="0" xr:uid="{00000000-0006-0000-0600-00000C000000}">
      <text>
        <r>
          <rPr>
            <b/>
            <sz val="12"/>
            <rFont val="宋体"/>
            <family val="3"/>
            <charset val="134"/>
          </rPr>
          <t>William SHI:</t>
        </r>
        <r>
          <rPr>
            <sz val="12"/>
            <rFont val="宋体"/>
            <family val="3"/>
            <charset val="134"/>
          </rPr>
          <t xml:space="preserve">
Updates to 5 or more tables with sophisticated conditional logic, calculations, and looping.更新5个表以上的以诡辩的条件逻辑，计算和循环。</t>
        </r>
      </text>
    </comment>
    <comment ref="B37" authorId="0" shapeId="0" xr:uid="{00000000-0006-0000-0600-00000D000000}">
      <text>
        <r>
          <rPr>
            <b/>
            <sz val="12"/>
            <rFont val="宋体"/>
            <family val="3"/>
            <charset val="134"/>
          </rPr>
          <t>William SHI:</t>
        </r>
        <r>
          <rPr>
            <sz val="12"/>
            <rFont val="宋体"/>
            <family val="3"/>
            <charset val="134"/>
          </rPr>
          <t xml:space="preserve">
Script that operates on a single table.  A database trigger that inserts a row into another table would be an example.对一个单独表的操作脚本。一个增加一个列到另一个表的数据库触发器将是一个例子</t>
        </r>
      </text>
    </comment>
    <comment ref="C37" authorId="0" shapeId="0" xr:uid="{00000000-0006-0000-0600-00000E000000}">
      <text>
        <r>
          <rPr>
            <b/>
            <sz val="12"/>
            <rFont val="宋体"/>
            <family val="3"/>
            <charset val="134"/>
          </rPr>
          <t>William SHI:</t>
        </r>
        <r>
          <rPr>
            <sz val="12"/>
            <rFont val="宋体"/>
            <family val="3"/>
            <charset val="134"/>
          </rPr>
          <t xml:space="preserve">
Updates to 2-3 tables with minimal conditional logic or looping.更新2至3个表的以最少的条件逻辑或循环</t>
        </r>
      </text>
    </comment>
    <comment ref="D37" authorId="0" shapeId="0" xr:uid="{00000000-0006-0000-0600-00000F000000}">
      <text>
        <r>
          <rPr>
            <b/>
            <sz val="12"/>
            <rFont val="宋体"/>
            <family val="3"/>
            <charset val="134"/>
          </rPr>
          <t>William SHI:</t>
        </r>
        <r>
          <rPr>
            <sz val="12"/>
            <rFont val="宋体"/>
            <family val="3"/>
            <charset val="134"/>
          </rPr>
          <t xml:space="preserve">
Updates to 3 or more tables with some conditional logic, calculations, and looping.更新3个以上表的以一些条件逻辑，计算和循环</t>
        </r>
      </text>
    </comment>
    <comment ref="E37" authorId="0" shapeId="0" xr:uid="{00000000-0006-0000-0600-000010000000}">
      <text>
        <r>
          <rPr>
            <b/>
            <sz val="12"/>
            <rFont val="宋体"/>
            <family val="3"/>
            <charset val="134"/>
          </rPr>
          <t>William SHI:</t>
        </r>
        <r>
          <rPr>
            <sz val="12"/>
            <rFont val="宋体"/>
            <family val="3"/>
            <charset val="134"/>
          </rPr>
          <t xml:space="preserve">
Updates to 5 or more tables with sophisticated conditional logic, calculations, and looping.更新5个表以上的以诡辩的条件逻辑，计算和循环。</t>
        </r>
      </text>
    </comment>
  </commentList>
</comments>
</file>

<file path=xl/sharedStrings.xml><?xml version="1.0" encoding="utf-8"?>
<sst xmlns="http://schemas.openxmlformats.org/spreadsheetml/2006/main" count="2046" uniqueCount="730">
  <si>
    <t>开发任务请优先匹配标准化产品清单。如果标准化开发有bug或有优化需求，请在QQ群（324753254）反馈问题</t>
  </si>
  <si>
    <t>合计</t>
  </si>
  <si>
    <t>功能设计</t>
  </si>
  <si>
    <t>技术开发</t>
  </si>
  <si>
    <t>功能测试</t>
  </si>
  <si>
    <t>用户测试</t>
  </si>
  <si>
    <t>代码复查</t>
  </si>
  <si>
    <t>其他信息</t>
  </si>
  <si>
    <t>模块</t>
  </si>
  <si>
    <t>功能编号</t>
  </si>
  <si>
    <t>编号</t>
  </si>
  <si>
    <t>任务</t>
  </si>
  <si>
    <t>说明及参考</t>
  </si>
  <si>
    <t>完成阶段</t>
  </si>
  <si>
    <t>开发模式</t>
  </si>
  <si>
    <t>状态</t>
  </si>
  <si>
    <t>类型</t>
  </si>
  <si>
    <t>开发方式</t>
  </si>
  <si>
    <t>难度</t>
  </si>
  <si>
    <t>设计</t>
  </si>
  <si>
    <t>编码</t>
  </si>
  <si>
    <t>升级</t>
  </si>
  <si>
    <t>技术设计</t>
  </si>
  <si>
    <t>编码及单元测试</t>
  </si>
  <si>
    <t>顾问测试</t>
  </si>
  <si>
    <t>安装</t>
  </si>
  <si>
    <t>首次交付</t>
  </si>
  <si>
    <t>上线人天</t>
  </si>
  <si>
    <t>技术人天</t>
  </si>
  <si>
    <t>功能人天</t>
  </si>
  <si>
    <t>合计人天</t>
  </si>
  <si>
    <t>是否SOW</t>
  </si>
  <si>
    <t>SOW人天</t>
  </si>
  <si>
    <t>是否变更</t>
  </si>
  <si>
    <t>变更人天</t>
  </si>
  <si>
    <t>设计者</t>
  </si>
  <si>
    <t>开始时间</t>
  </si>
  <si>
    <t>完成时间</t>
  </si>
  <si>
    <t>开发者</t>
  </si>
  <si>
    <t>测试者</t>
  </si>
  <si>
    <t>用户</t>
  </si>
  <si>
    <t>复查者</t>
  </si>
  <si>
    <t>截止日期</t>
  </si>
  <si>
    <t>复查备注</t>
  </si>
  <si>
    <t>公司</t>
  </si>
  <si>
    <t>项目名称</t>
  </si>
  <si>
    <t>备注</t>
  </si>
  <si>
    <t>负责人</t>
  </si>
  <si>
    <t>现场开发</t>
  </si>
  <si>
    <t>0-等待M060</t>
  </si>
  <si>
    <t>新增</t>
  </si>
  <si>
    <t>H0-Web Page</t>
  </si>
  <si>
    <t>Very Easy</t>
  </si>
  <si>
    <t>Y</t>
  </si>
  <si>
    <t>N</t>
  </si>
  <si>
    <t>未开始</t>
  </si>
  <si>
    <t>技术组</t>
  </si>
  <si>
    <t>H0-Java Program</t>
  </si>
  <si>
    <t>Easy</t>
  </si>
  <si>
    <t>SIT前</t>
  </si>
  <si>
    <t>Medium</t>
  </si>
  <si>
    <t>2-正在开发</t>
  </si>
  <si>
    <t>9-已经取消</t>
  </si>
  <si>
    <t>H0-Java WorkFlow</t>
  </si>
  <si>
    <t>H0-Interface</t>
  </si>
  <si>
    <t>微信小程序</t>
  </si>
  <si>
    <t>Complex</t>
  </si>
  <si>
    <t>产品编号</t>
  </si>
  <si>
    <t>产品名称</t>
  </si>
  <si>
    <t>产品分类</t>
  </si>
  <si>
    <t>主技术产品经理</t>
  </si>
  <si>
    <t>副技术产品经理</t>
  </si>
  <si>
    <t>业务产品经理</t>
  </si>
  <si>
    <t>HDSP0000</t>
  </si>
  <si>
    <t>开发规范及文档模板_FOR_EBS</t>
  </si>
  <si>
    <t>BASIC</t>
  </si>
  <si>
    <t>通用程序</t>
  </si>
  <si>
    <t>姚昆</t>
  </si>
  <si>
    <t>贺斌</t>
  </si>
  <si>
    <t>HDSP0001</t>
  </si>
  <si>
    <t>通用安装工具包_FOR_EBS_R12</t>
  </si>
  <si>
    <t>HDSP0002</t>
  </si>
  <si>
    <t>模块初始化及通用功能_FOR_EBS_R12</t>
  </si>
  <si>
    <t>HDSP0003</t>
  </si>
  <si>
    <t>金税接口_FOR_EBS_R12</t>
  </si>
  <si>
    <t>AR</t>
  </si>
  <si>
    <t>平台类</t>
  </si>
  <si>
    <t>谈树根</t>
  </si>
  <si>
    <t>钟兴林</t>
  </si>
  <si>
    <t>刘阳</t>
  </si>
  <si>
    <t>HDSP0004</t>
  </si>
  <si>
    <t>凭证打印_FOR_EBS_R12</t>
  </si>
  <si>
    <t>GL</t>
  </si>
  <si>
    <t>单据类</t>
  </si>
  <si>
    <t>杨进丰</t>
  </si>
  <si>
    <t>陈土钦</t>
  </si>
  <si>
    <t>HDSP0005</t>
  </si>
  <si>
    <t>报表浏览器_FOR_EBS_R12</t>
  </si>
  <si>
    <t>FIN</t>
  </si>
  <si>
    <t>工具类</t>
  </si>
  <si>
    <t>吕立元</t>
  </si>
  <si>
    <t>HDSP0006</t>
  </si>
  <si>
    <t>现金流量表_FOR_EBS_R12</t>
  </si>
  <si>
    <t>报表类</t>
  </si>
  <si>
    <t>刘洪玉</t>
  </si>
  <si>
    <t>HDSP0007</t>
  </si>
  <si>
    <t>库存收发存报表_FOR_EBS_R12</t>
  </si>
  <si>
    <t>INV</t>
  </si>
  <si>
    <t>王炳燕</t>
  </si>
  <si>
    <t>陈贤坤</t>
  </si>
  <si>
    <t>王瑜</t>
  </si>
  <si>
    <t>HDSP0008</t>
  </si>
  <si>
    <t>应付款余额报表_FOR_EBS_R12</t>
  </si>
  <si>
    <t>AP</t>
  </si>
  <si>
    <t>邓金边</t>
  </si>
  <si>
    <t>张晶</t>
  </si>
  <si>
    <t>HDSP0009</t>
  </si>
  <si>
    <t>供应商三栏帐_FOR_EBS_R12</t>
  </si>
  <si>
    <t>HDSP0010</t>
  </si>
  <si>
    <t>客户三栏帐_FOR_EBS_R12</t>
  </si>
  <si>
    <t>吴干元</t>
  </si>
  <si>
    <t>HDSP0011</t>
  </si>
  <si>
    <t>总帐三栏账_FOR_EBS_R12</t>
  </si>
  <si>
    <t>HDSP0012</t>
  </si>
  <si>
    <t>关帐检查报表_FOR_EBS_R12</t>
  </si>
  <si>
    <t>陈夏晓</t>
  </si>
  <si>
    <t>唐朝阳</t>
  </si>
  <si>
    <t>HDSP0013</t>
  </si>
  <si>
    <t>帐户余额_FOR_EBS_R12</t>
  </si>
  <si>
    <t>李平辉</t>
  </si>
  <si>
    <t>HDSP0014</t>
  </si>
  <si>
    <t>帐户分析表(综合本位币)_FOR_EBS_R12</t>
  </si>
  <si>
    <t>HDSP0015</t>
  </si>
  <si>
    <t>固定资产台帐_FOR_EBS_R12</t>
  </si>
  <si>
    <t>FA</t>
  </si>
  <si>
    <t>HDSP0016</t>
  </si>
  <si>
    <t>HDSP:数据安全性控制</t>
  </si>
  <si>
    <t>TECH</t>
  </si>
  <si>
    <t>肖辉平</t>
  </si>
  <si>
    <t>董乃浩</t>
  </si>
  <si>
    <t>李应龙</t>
  </si>
  <si>
    <t>HDSP0017</t>
  </si>
  <si>
    <t>HDSP:库龄分析报表</t>
  </si>
  <si>
    <t>李茜</t>
  </si>
  <si>
    <t>HDSP0020</t>
  </si>
  <si>
    <t>杂项出入库单_FOR_EBS_R12</t>
  </si>
  <si>
    <t>邵葵</t>
  </si>
  <si>
    <t>HDSP0021</t>
  </si>
  <si>
    <t>组织间转移单_FOR_EBS_R12</t>
  </si>
  <si>
    <t>HDSP0022</t>
  </si>
  <si>
    <t>子库存转移单_FOR_EBS_R12</t>
  </si>
  <si>
    <t>HDSP0023</t>
  </si>
  <si>
    <t>项目转移单_FOR_EBS_R12</t>
  </si>
  <si>
    <t>HDSP0024</t>
  </si>
  <si>
    <t>销售发货单_FOR_EBS_R12</t>
  </si>
  <si>
    <t>程沛</t>
  </si>
  <si>
    <t>HDSP0025</t>
  </si>
  <si>
    <t>接收入库单_FOR_EBS_R12</t>
  </si>
  <si>
    <t>HDSP0026</t>
  </si>
  <si>
    <t>接收退货单_FOR_EBS_R12</t>
  </si>
  <si>
    <t>HDSP0027</t>
  </si>
  <si>
    <t>生产完工入退库单_FOR_EBS_R12</t>
  </si>
  <si>
    <t>WIP</t>
  </si>
  <si>
    <t>张婷婷</t>
  </si>
  <si>
    <t>HDSP0028</t>
  </si>
  <si>
    <t>生产领料申请单_FOR_EBS_R12</t>
  </si>
  <si>
    <t>HDSP0029</t>
  </si>
  <si>
    <t>生产领退料单_FOR_EBS_R12</t>
  </si>
  <si>
    <t>HDSP0030</t>
  </si>
  <si>
    <t>物料搬运单_FOR_EBS_R12</t>
  </si>
  <si>
    <t>HDSP0031</t>
  </si>
  <si>
    <t>生产完工及投料报表_FOR_EBS_R12</t>
  </si>
  <si>
    <t>HDSP0032</t>
  </si>
  <si>
    <t>销售订单交货明细报表_FOR_EBS_R12</t>
  </si>
  <si>
    <t>OM</t>
  </si>
  <si>
    <t>HDSP0033</t>
  </si>
  <si>
    <t>组织间调拨在途报表_FOR_EBS_R12</t>
  </si>
  <si>
    <t>HDSP0034</t>
  </si>
  <si>
    <t>供应商选择报表_FOR_EBS_R12</t>
  </si>
  <si>
    <t>PO</t>
  </si>
  <si>
    <t>HDSP0035</t>
  </si>
  <si>
    <t>采购到货情况报表_FOR_EBS_R12</t>
  </si>
  <si>
    <t>HDSP0036</t>
  </si>
  <si>
    <t>采购申请进度报表_FOR_EBS_R12</t>
  </si>
  <si>
    <t>HDSP0037</t>
  </si>
  <si>
    <t>供应商实际采购价格分析报表_FOR_EBS_R12</t>
  </si>
  <si>
    <t>HDSP0038</t>
  </si>
  <si>
    <t>银行对帐工作台_FOR_EBS_R12</t>
  </si>
  <si>
    <t>CE</t>
  </si>
  <si>
    <t>张汎舟</t>
  </si>
  <si>
    <t>HDSP0039</t>
  </si>
  <si>
    <t>网银接口_FOR_EBS_R12</t>
  </si>
  <si>
    <t>HDSP0040</t>
  </si>
  <si>
    <t>WebADI_通用功能_FOR_EBS_R12</t>
  </si>
  <si>
    <t>WebADI</t>
  </si>
  <si>
    <t xml:space="preserve">吕立元 </t>
  </si>
  <si>
    <t>HDSP0041</t>
  </si>
  <si>
    <t>WebADI_创建物料类别_FOR_EBS_R12</t>
  </si>
  <si>
    <t>鲁康</t>
  </si>
  <si>
    <t>沈雨华</t>
  </si>
  <si>
    <t>HDSP0042</t>
  </si>
  <si>
    <t>WebADI_物料_FOR_EBS_R12</t>
  </si>
  <si>
    <t>李德远</t>
  </si>
  <si>
    <t>HDSP0043</t>
  </si>
  <si>
    <t>WebADI_库存事务_FOR_EBS_R12</t>
  </si>
  <si>
    <t>王娅汝</t>
  </si>
  <si>
    <t>HDSP0044</t>
  </si>
  <si>
    <t>WebADI_物料清单_FOR_EBS_R12</t>
  </si>
  <si>
    <t>张宇</t>
  </si>
  <si>
    <t>谢娇艳</t>
  </si>
  <si>
    <t>HDSP0045</t>
  </si>
  <si>
    <t>WebADI_工艺路线_FOR_EBS_R12</t>
  </si>
  <si>
    <t>张帆</t>
  </si>
  <si>
    <t>HDSP0046</t>
  </si>
  <si>
    <t>WebADI_供应商_FOR_EBS_R12</t>
  </si>
  <si>
    <t>樊思兰</t>
  </si>
  <si>
    <t>王太飞</t>
  </si>
  <si>
    <t>HDSP0047</t>
  </si>
  <si>
    <t>WebADI_客户_FOR_EBS_R12</t>
  </si>
  <si>
    <t>黄乐</t>
  </si>
  <si>
    <t>HDSP0048</t>
  </si>
  <si>
    <t>WebADI_银行_FOR_EBS_R12</t>
  </si>
  <si>
    <t>王博</t>
  </si>
  <si>
    <t>李岩</t>
  </si>
  <si>
    <t>HDSP0049</t>
  </si>
  <si>
    <t>WebADI_销售价目表_FOR_EBS_R12</t>
  </si>
  <si>
    <t>朱寒锋</t>
  </si>
  <si>
    <t>HDSP0050</t>
  </si>
  <si>
    <t>WebADI_销售订单_FOR_EBS_R12</t>
  </si>
  <si>
    <t>HDSP0051</t>
  </si>
  <si>
    <t>WebADI_采购订单_FOR_EBS_R12</t>
  </si>
  <si>
    <t>HDSP0052</t>
  </si>
  <si>
    <t>WebADI_采购接收_FOR_EBS_R12</t>
  </si>
  <si>
    <t>万利强</t>
  </si>
  <si>
    <t>HDSP0053</t>
  </si>
  <si>
    <t>WebADI_离散任务_FOR_EBS_R12</t>
  </si>
  <si>
    <t>尹露</t>
  </si>
  <si>
    <t>HDSP0054</t>
  </si>
  <si>
    <t>WebADI_应收事务_FOR_EBS_R12</t>
  </si>
  <si>
    <t>赵林杰</t>
  </si>
  <si>
    <t>HDSP0055</t>
  </si>
  <si>
    <t>WebADI_应付发票_FOR_EBS_R12</t>
  </si>
  <si>
    <t>张翔</t>
  </si>
  <si>
    <t>HDSP0056</t>
  </si>
  <si>
    <t>WebADI_预置文件值_FOR_EBS_R12</t>
  </si>
  <si>
    <t>代少秋</t>
  </si>
  <si>
    <t>HDSP0057</t>
  </si>
  <si>
    <t>WebADI_物料目录_FOR_EBS_R12</t>
  </si>
  <si>
    <t>李哲</t>
  </si>
  <si>
    <t>HDSP0058</t>
  </si>
  <si>
    <t>WebADI_标准成本_FOR_EBS_R12</t>
  </si>
  <si>
    <t>曹天娇</t>
  </si>
  <si>
    <t>HDSP0059</t>
  </si>
  <si>
    <t>WebADI_批准供应商列表_FOR_EBS_R12</t>
  </si>
  <si>
    <t>邓克俭</t>
  </si>
  <si>
    <t>HDSP0060</t>
  </si>
  <si>
    <t>WebADI_采购退货_FOR_EBS_R12</t>
  </si>
  <si>
    <t>HDSP0061</t>
  </si>
  <si>
    <t>WebADI_MRP预测_FOR_EBS_R12</t>
  </si>
  <si>
    <t>江琳琳</t>
  </si>
  <si>
    <t>HDSP0062</t>
  </si>
  <si>
    <t>WebADI_资源事务_FOR_EBS_R12</t>
  </si>
  <si>
    <t>HDSP0063</t>
  </si>
  <si>
    <t>WebADI_应付费用报表_FOR_EBS_R12</t>
  </si>
  <si>
    <t>肖东伟</t>
  </si>
  <si>
    <t>HDSP0064</t>
  </si>
  <si>
    <t>WebADI_银行分行_FOR_EBS_R12</t>
  </si>
  <si>
    <t>HDSP0065</t>
  </si>
  <si>
    <t>WebADI_银行账户_FOR_EBS_R12</t>
  </si>
  <si>
    <t>HDSP0066</t>
  </si>
  <si>
    <t>WebADI_物料类别分配_FOR_EBS_R12</t>
  </si>
  <si>
    <t>HDSP0067</t>
  </si>
  <si>
    <t>WebADI_职责_FOR_EBS_R12</t>
  </si>
  <si>
    <t>丁林</t>
  </si>
  <si>
    <t>HDSP0068</t>
  </si>
  <si>
    <t>WebADI_用户职责分配_FOR_EBS_R12</t>
  </si>
  <si>
    <t>HDSP0069</t>
  </si>
  <si>
    <t>WebADI_安全库存量导入</t>
  </si>
  <si>
    <t>HDSP0070</t>
  </si>
  <si>
    <t>WebADI_修改量导入</t>
  </si>
  <si>
    <t>HDSP0071</t>
  </si>
  <si>
    <t>WebADI_修改量限定词导入</t>
  </si>
  <si>
    <t>HDSP0072</t>
  </si>
  <si>
    <t>WebADI_人员基本信息导入</t>
  </si>
  <si>
    <t>HDSP0073</t>
  </si>
  <si>
    <t>WebADI_人员分配信息导入</t>
  </si>
  <si>
    <t>HDSP0074</t>
  </si>
  <si>
    <t>WebADI_人员附加信息导入</t>
  </si>
  <si>
    <t>HDSP0075</t>
  </si>
  <si>
    <t>WebADI_人员特殊信息导入</t>
  </si>
  <si>
    <t>HDSP0076</t>
  </si>
  <si>
    <t>WebADI_采购申请导入</t>
  </si>
  <si>
    <t>HDSP0077</t>
  </si>
  <si>
    <t>WebADI_值集安全性分配</t>
  </si>
  <si>
    <t>HDSP0078</t>
  </si>
  <si>
    <t>WebADI_值集安全性</t>
  </si>
  <si>
    <t>HDSP0079</t>
  </si>
  <si>
    <t>WebADI_值集值导入</t>
  </si>
  <si>
    <t>HDSP0080</t>
  </si>
  <si>
    <t>WebADI_货位导入</t>
  </si>
  <si>
    <t>HDSP0081</t>
  </si>
  <si>
    <t>WebADI_收款导入</t>
  </si>
  <si>
    <t xml:space="preserve">米俊玉 </t>
  </si>
  <si>
    <t>HDSP0082</t>
  </si>
  <si>
    <t>WebADI_公司间往来账户导入</t>
  </si>
  <si>
    <t>HDSP0083</t>
  </si>
  <si>
    <t>WebADI_税率纳税账户导入</t>
  </si>
  <si>
    <t>吕娜</t>
  </si>
  <si>
    <t>HDSP0084</t>
  </si>
  <si>
    <t>WebADI_平衡段分配</t>
  </si>
  <si>
    <t>HDSP0085</t>
  </si>
  <si>
    <t>WebADI_BOM删除组</t>
  </si>
  <si>
    <t>万雪</t>
  </si>
  <si>
    <t>HDSP0087</t>
  </si>
  <si>
    <t>WebADI_处方导入</t>
  </si>
  <si>
    <t>胡松</t>
  </si>
  <si>
    <t>HDSP0088</t>
  </si>
  <si>
    <t>WebADI_配方导入</t>
  </si>
  <si>
    <t>HDSP0089</t>
  </si>
  <si>
    <t>WebADI_序列号定义和分配</t>
  </si>
  <si>
    <t>彭颖</t>
  </si>
  <si>
    <t>HDSP0090</t>
  </si>
  <si>
    <t>WebADI_菜单导入</t>
  </si>
  <si>
    <t>简福华</t>
  </si>
  <si>
    <t>HDSP0091</t>
  </si>
  <si>
    <t>WebADI_物料分配</t>
  </si>
  <si>
    <t>HDSP0092</t>
  </si>
  <si>
    <t>WebADI_部门导入_FOR_EBS_R12</t>
  </si>
  <si>
    <t>葛建强</t>
  </si>
  <si>
    <t>HDSP0093</t>
  </si>
  <si>
    <t>WebADI_资源导入_FOR_EBS_R12</t>
  </si>
  <si>
    <t>HDSP0094</t>
  </si>
  <si>
    <t>WebADI_子库存导入</t>
  </si>
  <si>
    <t xml:space="preserve">樊思兰 </t>
  </si>
  <si>
    <t>HDSP0095</t>
  </si>
  <si>
    <t>WebADI_ECO导入</t>
  </si>
  <si>
    <t>陈原</t>
  </si>
  <si>
    <t>HDSP0096</t>
  </si>
  <si>
    <t>WebADI_员工供应商导入</t>
  </si>
  <si>
    <t>赵钰颖</t>
  </si>
  <si>
    <t>HDSP0100</t>
  </si>
  <si>
    <t>HDSP:待付款清单</t>
  </si>
  <si>
    <t>HDSP0101</t>
  </si>
  <si>
    <t>HDSP:供应商余额报表（含期初）</t>
  </si>
  <si>
    <t>HDSP0102</t>
  </si>
  <si>
    <t>HDSP:供应商余额报表（含暂估）</t>
  </si>
  <si>
    <t>HDSP0103</t>
  </si>
  <si>
    <t>HDSP:应付暂估报表（汇总）</t>
  </si>
  <si>
    <t>HDSP0104</t>
  </si>
  <si>
    <t>HDSP:应付暂估报表（明细）</t>
  </si>
  <si>
    <t>HDSP0140</t>
  </si>
  <si>
    <t>销售价格变动分析表</t>
  </si>
  <si>
    <t>HDSP0105</t>
  </si>
  <si>
    <t>HDSP:供应商明细帐（应付与暂估）</t>
  </si>
  <si>
    <t>HDSP0106</t>
  </si>
  <si>
    <t>HDSP:员工借款统计</t>
  </si>
  <si>
    <t>HDSP0107</t>
  </si>
  <si>
    <t>HDSP:客户余额表</t>
  </si>
  <si>
    <t>HDSP0108</t>
  </si>
  <si>
    <t>HDSP:客户明细帐</t>
  </si>
  <si>
    <t>HDSP0109</t>
  </si>
  <si>
    <t>HDSP:按供应商列出的发票价格差异报表</t>
  </si>
  <si>
    <t>HDSP0110</t>
  </si>
  <si>
    <t>HDSP:固定资产折旧表</t>
  </si>
  <si>
    <t>HDSP0111</t>
  </si>
  <si>
    <t>HDSP:固定资产明细表</t>
  </si>
  <si>
    <t>HDSP0112</t>
  </si>
  <si>
    <t>HDSP:应付账龄报表</t>
  </si>
  <si>
    <t>HDSP011201</t>
  </si>
  <si>
    <t>应付账龄报表（AP+GL）</t>
  </si>
  <si>
    <t>米俊玉</t>
  </si>
  <si>
    <t>HDSP0145</t>
  </si>
  <si>
    <t>应收票据明细表</t>
  </si>
  <si>
    <t>聂小敏</t>
  </si>
  <si>
    <t>HDSP0113</t>
  </si>
  <si>
    <t>HDSP:预付账龄报表</t>
  </si>
  <si>
    <t>HDSP0146</t>
  </si>
  <si>
    <t>应付票据明细表</t>
  </si>
  <si>
    <t>HDSP0144</t>
  </si>
  <si>
    <t>银行授信管理平台</t>
  </si>
  <si>
    <t>HDSP0114</t>
  </si>
  <si>
    <t>HDSP:应收账龄报表</t>
  </si>
  <si>
    <t>HDSP011401</t>
  </si>
  <si>
    <t>应收账龄报表（AR+GL）</t>
  </si>
  <si>
    <t>HDSP014401</t>
  </si>
  <si>
    <t>银行授信管理报表</t>
  </si>
  <si>
    <t>HDSP0115</t>
  </si>
  <si>
    <t>HDSP:预收账龄报表</t>
  </si>
  <si>
    <t>HDSP011501</t>
  </si>
  <si>
    <t>预收账龄报表（AR+GL）</t>
  </si>
  <si>
    <t>HDSP0128</t>
  </si>
  <si>
    <t>现金流量表(对方科目法)</t>
  </si>
  <si>
    <t>吴量</t>
  </si>
  <si>
    <t>HDSP0116</t>
  </si>
  <si>
    <t>HDSP:库存现有量报表</t>
  </si>
  <si>
    <t>HDSP0117</t>
  </si>
  <si>
    <t>HDSP:应付发票明细表</t>
  </si>
  <si>
    <t>HDSP0118</t>
  </si>
  <si>
    <t>HDSP:事务处理明细表</t>
  </si>
  <si>
    <t>HDSP0119</t>
  </si>
  <si>
    <t>HDSP:客户余额明细表（界面数）</t>
  </si>
  <si>
    <t>HDSP0120</t>
  </si>
  <si>
    <t>HDSP:应收账龄表（界面数）</t>
  </si>
  <si>
    <t>HDSP0121</t>
  </si>
  <si>
    <t>HDSP:预收账龄表（界面数）</t>
  </si>
  <si>
    <t>HDSP0122</t>
  </si>
  <si>
    <t>HDSP:物料事务处理报表（PAC）</t>
  </si>
  <si>
    <t>CST</t>
  </si>
  <si>
    <t>HDSP0123</t>
  </si>
  <si>
    <t>设置导出</t>
  </si>
  <si>
    <t>李志英</t>
  </si>
  <si>
    <t>HDSP0133</t>
  </si>
  <si>
    <t>库存发生额变动与帐户发生额变动比较</t>
  </si>
  <si>
    <t>HDSP0134</t>
  </si>
  <si>
    <t>实际库存值报表</t>
  </si>
  <si>
    <t>HDSP0126</t>
  </si>
  <si>
    <t>固定资产变动明细表</t>
  </si>
  <si>
    <t>HDSP0127</t>
  </si>
  <si>
    <t>固定资产变动汇总表</t>
  </si>
  <si>
    <t>HDSP011402</t>
  </si>
  <si>
    <t>应收账龄报表——项目维度</t>
  </si>
  <si>
    <t>HDSP0129</t>
  </si>
  <si>
    <t>iSetup设置导入基础包</t>
  </si>
  <si>
    <t>SYS</t>
  </si>
  <si>
    <t xml:space="preserve">钟兴林 </t>
  </si>
  <si>
    <t>夏竞成</t>
  </si>
  <si>
    <t xml:space="preserve">李志英 </t>
  </si>
  <si>
    <t>HDSP011502</t>
  </si>
  <si>
    <t>预收账龄报表——项目维度</t>
  </si>
  <si>
    <t>HDSP010401</t>
  </si>
  <si>
    <t>应付暂估明细表（业务）</t>
  </si>
  <si>
    <t>HDSP011202</t>
  </si>
  <si>
    <t>应付账龄报表——项目维度</t>
  </si>
  <si>
    <t>HDSP011301</t>
  </si>
  <si>
    <t>预付账龄报表（AP+GL）</t>
  </si>
  <si>
    <t>HDSP011302</t>
  </si>
  <si>
    <t>预付账龄报表——项目维度</t>
  </si>
  <si>
    <t>HDSP0135</t>
  </si>
  <si>
    <t>需重分类客户表</t>
  </si>
  <si>
    <t>HDSP0136</t>
  </si>
  <si>
    <t>需重分类供应商表</t>
  </si>
  <si>
    <t>HDSP0137</t>
  </si>
  <si>
    <t>总账凭证行查询</t>
  </si>
  <si>
    <t>HDSP0138</t>
  </si>
  <si>
    <t>库存周转率分析表</t>
  </si>
  <si>
    <t>黎令洲</t>
  </si>
  <si>
    <t>HDSP0124</t>
  </si>
  <si>
    <t>其他应付款账龄报表（AP+AR+GL）</t>
  </si>
  <si>
    <t>HDSP0141</t>
  </si>
  <si>
    <t>供应商信息报表</t>
  </si>
  <si>
    <t>HDSP0142</t>
  </si>
  <si>
    <t>物料搬运单统计报表</t>
  </si>
  <si>
    <t>HDSP0125</t>
  </si>
  <si>
    <t>其他应收款账龄报表（AP+AR+GL）</t>
  </si>
  <si>
    <t>HDSP0130</t>
  </si>
  <si>
    <t>资源和制造费用实际费率的计算</t>
  </si>
  <si>
    <t>HDSP0143</t>
  </si>
  <si>
    <t>应付暂估账龄报表</t>
  </si>
  <si>
    <t>HDSP0131</t>
  </si>
  <si>
    <t>客户明细导出报表</t>
  </si>
  <si>
    <t>HDSP0132</t>
  </si>
  <si>
    <t>工单完工率分析表</t>
  </si>
  <si>
    <t>HDSP0200</t>
  </si>
  <si>
    <t>即时打印通用程序</t>
  </si>
  <si>
    <t>HDSP0201</t>
  </si>
  <si>
    <t>标准成本差异分摊</t>
  </si>
  <si>
    <t>HDSP0202</t>
  </si>
  <si>
    <t>通用审批工作流</t>
  </si>
  <si>
    <t>Workflow</t>
  </si>
  <si>
    <t>袁良杰</t>
  </si>
  <si>
    <t>HDSP0203</t>
  </si>
  <si>
    <t>form表单多语言</t>
  </si>
  <si>
    <t>罗腾</t>
  </si>
  <si>
    <t>HDSP0204</t>
  </si>
  <si>
    <t>通用webservice调用及xml table动态解析</t>
  </si>
  <si>
    <t>Webservice</t>
  </si>
  <si>
    <t>HDSP0205</t>
  </si>
  <si>
    <t>通用附件上传</t>
  </si>
  <si>
    <t>HDSP0206</t>
  </si>
  <si>
    <t>表单权限控制通用开发</t>
  </si>
  <si>
    <t>彭金金</t>
  </si>
  <si>
    <t>HDSP0207</t>
  </si>
  <si>
    <t>仓储权限管理</t>
  </si>
  <si>
    <t>向康林</t>
  </si>
  <si>
    <t>HDSP0208</t>
  </si>
  <si>
    <t>预付应付自动核销</t>
  </si>
  <si>
    <t>郭园</t>
  </si>
  <si>
    <t>HDSP0209</t>
  </si>
  <si>
    <t>预收应收自动核销</t>
  </si>
  <si>
    <t>胡珊珊</t>
  </si>
  <si>
    <t>HDSP0210</t>
  </si>
  <si>
    <t>收款自动核销</t>
  </si>
  <si>
    <t>HDSP0212</t>
  </si>
  <si>
    <t>通用接口导入(互联网行业版本)</t>
  </si>
  <si>
    <t>李梽</t>
  </si>
  <si>
    <t>代菁</t>
  </si>
  <si>
    <t>HDSP0213</t>
  </si>
  <si>
    <t>通用导入（Form版本）</t>
  </si>
  <si>
    <t>杜鼎</t>
  </si>
  <si>
    <t>汤文静</t>
  </si>
  <si>
    <t>HDSP0214</t>
  </si>
  <si>
    <t>付款申请</t>
  </si>
  <si>
    <t>周静</t>
  </si>
  <si>
    <t>HDSP0215</t>
  </si>
  <si>
    <t>收款通知单</t>
  </si>
  <si>
    <t>HDSP0216</t>
  </si>
  <si>
    <t>Form自动生成器</t>
  </si>
  <si>
    <t>石博</t>
  </si>
  <si>
    <t>HDSP0217</t>
  </si>
  <si>
    <t>银企直连</t>
  </si>
  <si>
    <t>刘杰</t>
  </si>
  <si>
    <t>HDSP0218</t>
  </si>
  <si>
    <t>通用FTP接口平台</t>
  </si>
  <si>
    <t>吴杰</t>
  </si>
  <si>
    <t>按状态</t>
  </si>
  <si>
    <t>按状态和设计</t>
  </si>
  <si>
    <t>按状态和开发</t>
  </si>
  <si>
    <t>按状态和测试</t>
  </si>
  <si>
    <t>按开发和方式</t>
  </si>
  <si>
    <t>按开发和模块</t>
  </si>
  <si>
    <t>(全部)</t>
  </si>
  <si>
    <t>数据</t>
  </si>
  <si>
    <t>个数</t>
  </si>
  <si>
    <t>首交</t>
  </si>
  <si>
    <t>上线</t>
  </si>
  <si>
    <t>技术</t>
  </si>
  <si>
    <t>功能</t>
  </si>
  <si>
    <t>SOW</t>
  </si>
  <si>
    <t>变更</t>
  </si>
  <si>
    <t>汇总</t>
  </si>
  <si>
    <t>(空白)</t>
  </si>
  <si>
    <t>总计</t>
  </si>
  <si>
    <t>JSP</t>
  </si>
  <si>
    <t>XMLP</t>
  </si>
  <si>
    <t>移植</t>
  </si>
  <si>
    <t>按模块</t>
  </si>
  <si>
    <t>汉得认为，除了方案和编码，一个成功的开发项目，必须非常重视功能设计、重视技术设计、重视测试工作，并要求各位顾问和技术非常仔细地完成MD060功能设计书、MD065技术设计书、测试报告、操作手册，这样才能保证最终交付的软件产品，具有高质量、高扩展性、良好的性能，在人员更替的情况下，亦能保证系统正常、稳定的运行下去、维护下去。
而部分企业的IT人员，目前仍旧仅重视编码，忽视了其他环节，这样在人天上和汉得的分歧就比较可理解了。
下面简单描述下，在总体方案后，软件开发需要经历的阶段和主要任务。汉得十多年来软件开发、ERP实施的经验表明，保持这些阶段的人天比例为2：1：3：3：0.5是比较合理的，可以看到，编程工作，仅占整个开发的3/10。</t>
  </si>
  <si>
    <r>
      <rPr>
        <sz val="12"/>
        <rFont val="宋体"/>
        <family val="3"/>
        <charset val="134"/>
      </rPr>
      <t>1</t>
    </r>
    <r>
      <rPr>
        <sz val="10"/>
        <rFont val="宋体"/>
        <family val="3"/>
        <charset val="134"/>
      </rPr>
      <t>、功能设计，交付物：MD060功能设计书。主要涉及工作：</t>
    </r>
  </si>
  <si>
    <t>业务背景、适用范围描述；界面字段、布局设计与文档；界面访问组织、数据权限设计与文档；字段数据格式、值列表数据范围设计与文档；界面字段控制、数据关系设计与文档；界面后台处理数据逻辑关系设计与文档；预置文件控制逻辑关系设计与文档；查询条件字段、值列表设计与文档；查询条件字段控制设计与文档；与请求参数控制设计与文档；请求数据处理逻辑关系与文档；请求处理结果输出布局与文档。</t>
  </si>
  <si>
    <r>
      <rPr>
        <sz val="12"/>
        <rFont val="宋体"/>
        <family val="3"/>
        <charset val="134"/>
      </rPr>
      <t>2</t>
    </r>
    <r>
      <rPr>
        <sz val="10"/>
        <rFont val="宋体"/>
        <family val="3"/>
        <charset val="134"/>
      </rPr>
      <t>、技术设计，交付物：</t>
    </r>
    <r>
      <rPr>
        <sz val="12"/>
        <rFont val="宋体"/>
        <family val="3"/>
        <charset val="134"/>
      </rPr>
      <t>MD065</t>
    </r>
    <r>
      <rPr>
        <sz val="10"/>
        <rFont val="宋体"/>
        <family val="3"/>
        <charset val="134"/>
      </rPr>
      <t>技术设计书。主要涉及工作：</t>
    </r>
  </si>
  <si>
    <t>深刻理解业务需求和功能设计书，理清每个功能点的数据流、数据关系，并放在整个系统的框架内统一考虑，设计满足第三范式的表结构，选择最合理的实现方式和集成方式，充分考虑系统间的追溯关系。对于复杂的开发，需要编制伪代码；对于难度较大的开发，需要提前进行测试，提供开发模版或实现范例。</t>
  </si>
  <si>
    <r>
      <rPr>
        <sz val="12"/>
        <rFont val="宋体"/>
        <family val="3"/>
        <charset val="134"/>
      </rPr>
      <t>3</t>
    </r>
    <r>
      <rPr>
        <sz val="10"/>
        <rFont val="宋体"/>
        <family val="3"/>
        <charset val="134"/>
      </rPr>
      <t>、程序编码，交付物：程序源代码和可执行代码、安装手册。主要涉及工作：</t>
    </r>
  </si>
  <si>
    <t>开发人员需要重视对需求和功能设计的深刻理解，若有疑问或无法实现的逻辑，需要与功能顾问讨论甚至返回修改MD060；对每个功能点开发，选择最佳的实现方式，包括模块化方式、正确的触发器、执行路径比较优的SQL、具有扩展性的逻辑控制、杜绝Hard Code等。程序编制完，需要在小范围内做单元测试，才能交付功能顾问测试、用户测试。</t>
  </si>
  <si>
    <r>
      <rPr>
        <sz val="12"/>
        <rFont val="宋体"/>
        <family val="3"/>
        <charset val="134"/>
      </rPr>
      <t>4</t>
    </r>
    <r>
      <rPr>
        <sz val="10"/>
        <rFont val="宋体"/>
        <family val="3"/>
        <charset val="134"/>
      </rPr>
      <t>、测试，交付物：测试报告。主要涉及工作：</t>
    </r>
  </si>
  <si>
    <t>界面字段、布局测试与文档记录；界面各字段间、逻辑测试与文档记录；界面清空、数据保存、数据删除等基本操作测试与文档记录；界面打开、关闭响应测试与文档记录；各字段数据输入验证测试与文档记录；各字段间控制关系、后台各种数据处理关系测试与文档记录；界面组织与数据访问权限组合逻辑关系测试与文档记录；预置文件各种不同组合关系数据逻辑测试与文档记录；查询条件控制与结果测试与文档记录；请求参数不同组合控制与请求结果测试与文档记录；多数据、多用户并发压力测试与文档记录。</t>
  </si>
  <si>
    <r>
      <rPr>
        <sz val="12"/>
        <rFont val="宋体"/>
        <family val="3"/>
        <charset val="134"/>
      </rPr>
      <t>5</t>
    </r>
    <r>
      <rPr>
        <sz val="10"/>
        <rFont val="宋体"/>
        <family val="3"/>
        <charset val="134"/>
      </rPr>
      <t>、操作手册，主要涉及工作：</t>
    </r>
  </si>
  <si>
    <t>操作相关业务和适用范围；不同业务情况的不同操作步骤；系统进入和路径选择；系统界面和字段说明；操作步骤和界面各字段不同控制说明；常见错误说明；出错应急处理办法和步骤。</t>
  </si>
  <si>
    <t>开发进度统计报表</t>
  </si>
  <si>
    <t>3-等待测试</t>
  </si>
  <si>
    <t>5-测试完成</t>
  </si>
  <si>
    <t>6-已移植UAT</t>
  </si>
  <si>
    <t>7-已经上线</t>
  </si>
  <si>
    <t>数量汇总</t>
  </si>
  <si>
    <t>人天汇总</t>
  </si>
  <si>
    <t>进度汇总</t>
  </si>
  <si>
    <t>LU_Types</t>
  </si>
  <si>
    <t>LU_Ratings</t>
  </si>
  <si>
    <t>任务状态</t>
  </si>
  <si>
    <t>总状态</t>
  </si>
  <si>
    <t>Division</t>
  </si>
  <si>
    <t>Mode</t>
  </si>
  <si>
    <t>Resources</t>
  </si>
  <si>
    <t>Level</t>
  </si>
  <si>
    <t>LU_Level_Metrics</t>
  </si>
  <si>
    <t>Resource_Rows</t>
  </si>
  <si>
    <t>Yes_No</t>
  </si>
  <si>
    <t>Types</t>
  </si>
  <si>
    <t>1-未检查</t>
  </si>
  <si>
    <t>应用标准化</t>
  </si>
  <si>
    <t>T3</t>
  </si>
  <si>
    <t>L1</t>
  </si>
  <si>
    <t>是</t>
  </si>
  <si>
    <t>H0-Java Report</t>
  </si>
  <si>
    <t>2-进行中</t>
  </si>
  <si>
    <t>1-等待开发</t>
  </si>
  <si>
    <t>远程开发</t>
  </si>
  <si>
    <t>L2</t>
  </si>
  <si>
    <t>否</t>
  </si>
  <si>
    <t>方案取消</t>
  </si>
  <si>
    <t>3-已检查</t>
  </si>
  <si>
    <t>L3</t>
  </si>
  <si>
    <t>4-更新中</t>
  </si>
  <si>
    <t>T1</t>
  </si>
  <si>
    <t>方案新增</t>
  </si>
  <si>
    <t>Maintain</t>
  </si>
  <si>
    <t>5-结束</t>
  </si>
  <si>
    <t>4-等待修改</t>
  </si>
  <si>
    <t>T2</t>
  </si>
  <si>
    <r>
      <rPr>
        <sz val="10"/>
        <rFont val="宋体"/>
        <family val="3"/>
        <charset val="134"/>
      </rPr>
      <t>非S</t>
    </r>
    <r>
      <rPr>
        <sz val="10"/>
        <rFont val="宋体"/>
        <family val="3"/>
        <charset val="134"/>
      </rPr>
      <t>OW</t>
    </r>
  </si>
  <si>
    <t>遗漏</t>
  </si>
  <si>
    <t>SRS</t>
  </si>
  <si>
    <t>T4</t>
  </si>
  <si>
    <t>合并</t>
  </si>
  <si>
    <t>Flexfield</t>
  </si>
  <si>
    <t>T5</t>
  </si>
  <si>
    <t>8-方案待定</t>
  </si>
  <si>
    <t>T6</t>
  </si>
  <si>
    <t>JSP Mod</t>
  </si>
  <si>
    <t>T7</t>
  </si>
  <si>
    <t>T8</t>
  </si>
  <si>
    <t>HTML报表</t>
  </si>
  <si>
    <t>P1</t>
  </si>
  <si>
    <t>P2</t>
  </si>
  <si>
    <t>M1</t>
  </si>
  <si>
    <t>M2</t>
  </si>
  <si>
    <t>E</t>
  </si>
  <si>
    <t>SM</t>
  </si>
  <si>
    <t>PMT</t>
  </si>
  <si>
    <t>Base Metrics</t>
  </si>
  <si>
    <t>Module Type</t>
  </si>
  <si>
    <t>Design</t>
  </si>
  <si>
    <t>Build</t>
  </si>
  <si>
    <t>Upgrade</t>
  </si>
  <si>
    <t>VE</t>
  </si>
  <si>
    <t>M</t>
  </si>
  <si>
    <t>C</t>
  </si>
  <si>
    <t>已完成</t>
  </si>
  <si>
    <t>计划开发完成时间</t>
    <phoneticPr fontId="17" type="noConversion"/>
  </si>
  <si>
    <t>分类</t>
    <phoneticPr fontId="17" type="noConversion"/>
  </si>
  <si>
    <t>项目组</t>
  </si>
  <si>
    <t>T3</t>
    <phoneticPr fontId="17" type="noConversion"/>
  </si>
  <si>
    <t>周苗</t>
  </si>
  <si>
    <t>上线后</t>
  </si>
  <si>
    <t>AIGC</t>
  </si>
  <si>
    <t>AIGC</t>
    <phoneticPr fontId="17" type="noConversion"/>
  </si>
  <si>
    <t>7-已经上线</t>
    <phoneticPr fontId="17" type="noConversion"/>
  </si>
  <si>
    <t>T2</t>
    <phoneticPr fontId="17" type="noConversion"/>
  </si>
  <si>
    <t>王明雷</t>
    <phoneticPr fontId="17" type="noConversion"/>
  </si>
  <si>
    <t>前端</t>
  </si>
  <si>
    <t>前端</t>
    <phoneticPr fontId="17" type="noConversion"/>
  </si>
  <si>
    <t>后端</t>
  </si>
  <si>
    <t>后端</t>
    <phoneticPr fontId="17" type="noConversion"/>
  </si>
  <si>
    <t>功能名称</t>
    <phoneticPr fontId="17" type="noConversion"/>
  </si>
  <si>
    <t>岗位管理界面逻辑</t>
    <phoneticPr fontId="17" type="noConversion"/>
  </si>
  <si>
    <t>岗位列表/岗位编辑界面展示和按钮点击逻辑</t>
    <phoneticPr fontId="17" type="noConversion"/>
  </si>
  <si>
    <t>岗位列表/岗位编辑界面绘制</t>
    <phoneticPr fontId="17" type="noConversion"/>
  </si>
  <si>
    <t>标签管理页面逻辑</t>
    <phoneticPr fontId="17" type="noConversion"/>
  </si>
  <si>
    <t>岗位管理界面绘制</t>
    <phoneticPr fontId="17" type="noConversion"/>
  </si>
  <si>
    <t>分类/标签管理页面界面展示和按钮点击逻辑</t>
    <phoneticPr fontId="17" type="noConversion"/>
  </si>
  <si>
    <t>分类/标签管理页面界面绘制</t>
    <phoneticPr fontId="17" type="noConversion"/>
  </si>
  <si>
    <t>标签管理页面绘制</t>
    <phoneticPr fontId="17" type="noConversion"/>
  </si>
  <si>
    <t>环境数据库梳理</t>
    <phoneticPr fontId="17" type="noConversion"/>
  </si>
  <si>
    <t>梳理环境数据库并建表</t>
    <phoneticPr fontId="17" type="noConversion"/>
  </si>
  <si>
    <t>简历上传页面绘制</t>
    <phoneticPr fontId="17" type="noConversion"/>
  </si>
  <si>
    <t>按照原型图绘制简历上传页面</t>
    <phoneticPr fontId="17" type="noConversion"/>
  </si>
  <si>
    <t>页面主要功能包括上传简历文件，展示失败成功条数。简历解析后需要在页面下可供点击查看的原始简历，以及AIGC提取出的简历信息。</t>
    <phoneticPr fontId="17" type="noConversion"/>
  </si>
  <si>
    <t>简历上传接口</t>
    <phoneticPr fontId="17" type="noConversion"/>
  </si>
  <si>
    <t>支持拖动简历相关进行上传解析，解析不对需要进行报错处理</t>
    <phoneticPr fontId="17" type="noConversion"/>
  </si>
  <si>
    <t>简历查询通用方法</t>
    <phoneticPr fontId="17" type="noConversion"/>
  </si>
  <si>
    <t>根据需求包装VO，提供方法为简历上传/简历展示页面进行简历数据查询</t>
    <phoneticPr fontId="17" type="noConversion"/>
  </si>
  <si>
    <t>简历读取AIGC编排</t>
    <phoneticPr fontId="17" type="noConversion"/>
  </si>
  <si>
    <t>设计AIGC编排读取简历数据并插入向量</t>
    <phoneticPr fontId="17" type="noConversion"/>
  </si>
  <si>
    <t>支持拖动word/pdf/图片/文件压缩包的格式进行解析上传。上传后并发调用AIGC编排流程对简历进行处理并进行简历入表和简历标签匹配生成。入表前需要进行信息筛选。入表后重新查询并返回简历数据。</t>
    <phoneticPr fontId="17" type="noConversion"/>
  </si>
  <si>
    <t>进行Agent编排，传入简历文件url，提取简历信息，生成简历关键字，将返回信息进行向量化同步并插入向量库。返回简历信息JSON和关键字进行后续逻辑处理</t>
    <phoneticPr fontId="17" type="noConversion"/>
  </si>
  <si>
    <t>人岗匹配界面绘制</t>
    <phoneticPr fontId="17" type="noConversion"/>
  </si>
  <si>
    <t>按照原型图绘制人岗匹配交互页面</t>
    <phoneticPr fontId="17" type="noConversion"/>
  </si>
  <si>
    <t>包括用户输入框，用户检索，维度展示与编辑，简历排序展示</t>
    <phoneticPr fontId="17" type="noConversion"/>
  </si>
  <si>
    <t>简历详情展示界面</t>
    <phoneticPr fontId="17" type="noConversion"/>
  </si>
  <si>
    <t>推荐简历展示</t>
    <phoneticPr fontId="17" type="noConversion"/>
  </si>
  <si>
    <t>点击检索出的相似简历，请求简历查询接口进行简历展示</t>
    <phoneticPr fontId="17" type="noConversion"/>
  </si>
  <si>
    <t>职位维度画像生成功能</t>
    <phoneticPr fontId="17" type="noConversion"/>
  </si>
  <si>
    <t>根据用户选择岗位和岗位描述，按照不同的几个维度，调用维度生成AIGC编排进行维度信息生成</t>
    <phoneticPr fontId="17" type="noConversion"/>
  </si>
  <si>
    <t>需要判断维度是否有填写，在查询的时候如果有传入维度值，则不生成该维度的信息，而是直接用用户录的值</t>
    <phoneticPr fontId="17" type="noConversion"/>
  </si>
  <si>
    <t>职位维度画像Agent编排</t>
    <phoneticPr fontId="17" type="noConversion"/>
  </si>
  <si>
    <t>设计Agent编排，输入岗位和岗位描述，按照固定的维度进行信息提取生成并返回</t>
    <phoneticPr fontId="17" type="noConversion"/>
  </si>
  <si>
    <t>若某个维度用户输入有值，则不进行生成</t>
    <phoneticPr fontId="17" type="noConversion"/>
  </si>
  <si>
    <t>向量评分功能</t>
    <phoneticPr fontId="17" type="noConversion"/>
  </si>
  <si>
    <t>岗位描述文本+简历提取内容进行评分</t>
    <phoneticPr fontId="17" type="noConversion"/>
  </si>
  <si>
    <t>标签评分功能</t>
    <phoneticPr fontId="17" type="noConversion"/>
  </si>
  <si>
    <t>关键词评分功能</t>
    <phoneticPr fontId="17" type="noConversion"/>
  </si>
  <si>
    <t>按照岗位查询推荐简历接口</t>
    <phoneticPr fontId="17" type="noConversion"/>
  </si>
  <si>
    <t>按照岗位描述进行推荐简历排序查询</t>
    <phoneticPr fontId="17" type="noConversion"/>
  </si>
  <si>
    <t>点击人岗匹配界面检索，调用岗位维度画像生成，简历向量/标签/关键词评分，之后按照权重进行综合评分，将推荐的简历进行返回。需要展示评分细则</t>
    <phoneticPr fontId="17" type="noConversion"/>
  </si>
  <si>
    <t>简历详情查询接口</t>
    <phoneticPr fontId="17" type="noConversion"/>
  </si>
  <si>
    <t>单点登录</t>
    <phoneticPr fontId="17" type="noConversion"/>
  </si>
  <si>
    <t>单点登录</t>
    <phoneticPr fontId="17" type="noConversion"/>
  </si>
  <si>
    <t>手动在H0维护用户（不超过20人)，进行单点登录相关修改</t>
    <phoneticPr fontId="17" type="noConversion"/>
  </si>
  <si>
    <t>评分调优</t>
    <phoneticPr fontId="17" type="noConversion"/>
  </si>
  <si>
    <t>根据实际效果进行简历推荐评分调优</t>
    <phoneticPr fontId="17" type="noConversion"/>
  </si>
  <si>
    <t>记录岗位查询日志及返回的推荐岗位信息</t>
    <phoneticPr fontId="17" type="noConversion"/>
  </si>
  <si>
    <t>STIC-HR-001</t>
    <phoneticPr fontId="17" type="noConversion"/>
  </si>
  <si>
    <t>STIC-HR-002</t>
  </si>
  <si>
    <t>STIC-HR-003</t>
  </si>
  <si>
    <t>STIC-HR-004</t>
  </si>
  <si>
    <t>STIC-HR-005</t>
  </si>
  <si>
    <t>STIC-HR-006</t>
  </si>
  <si>
    <t>STIC-HR-007</t>
  </si>
  <si>
    <t>STIC-HR-008</t>
  </si>
  <si>
    <t>STIC-HR-009</t>
  </si>
  <si>
    <t>STIC-HR-010</t>
  </si>
  <si>
    <t>STIC-HR-011</t>
  </si>
  <si>
    <t>STIC-HR-012</t>
  </si>
  <si>
    <t>STIC-HR-013</t>
  </si>
  <si>
    <t>STIC-HR-014</t>
  </si>
  <si>
    <t>STIC-HR-015</t>
  </si>
  <si>
    <t>STIC-HR-016</t>
  </si>
  <si>
    <t>STIC-HR-017</t>
  </si>
  <si>
    <t>STIC-HR-018</t>
  </si>
  <si>
    <t>STIC-HR-019</t>
  </si>
  <si>
    <t>STIC-HR-020</t>
  </si>
  <si>
    <t>T3</t>
    <phoneticPr fontId="17" type="noConversion"/>
  </si>
  <si>
    <t>顾问组</t>
    <phoneticPr fontId="17" type="noConversion"/>
  </si>
  <si>
    <t>周苗</t>
    <phoneticPr fontId="17" type="noConversion"/>
  </si>
  <si>
    <t>人岗匹配历史记录</t>
    <phoneticPr fontId="17" type="noConversion"/>
  </si>
  <si>
    <t>简历上传历史记录</t>
    <phoneticPr fontId="17" type="noConversion"/>
  </si>
  <si>
    <t>STIC-HR-021</t>
  </si>
  <si>
    <t>记录每次简历上传信息</t>
    <phoneticPr fontId="17" type="noConversion"/>
  </si>
  <si>
    <t>简历上传历史记录页面</t>
    <phoneticPr fontId="17" type="noConversion"/>
  </si>
  <si>
    <t>STIC-HR-022</t>
    <phoneticPr fontId="17" type="noConversion"/>
  </si>
  <si>
    <t>简历上传历史记录历史查询界面</t>
    <phoneticPr fontId="17" type="noConversion"/>
  </si>
  <si>
    <t>简历上传历史查询（列表/明细）</t>
    <phoneticPr fontId="17" type="noConversion"/>
  </si>
  <si>
    <t>STIC-HR-023</t>
    <phoneticPr fontId="17" type="noConversion"/>
  </si>
  <si>
    <t>历史失败简历文件重新解析接口</t>
    <phoneticPr fontId="17" type="noConversion"/>
  </si>
  <si>
    <t>查询简历上传历史记录列表/明细</t>
    <phoneticPr fontId="17" type="noConversion"/>
  </si>
  <si>
    <t>STIC-HR-024</t>
    <phoneticPr fontId="17" type="noConversion"/>
  </si>
  <si>
    <t>查询简历上传历史记录，对解析失败的简历文件进行重新解析</t>
    <phoneticPr fontId="17" type="noConversion"/>
  </si>
  <si>
    <t>杨金平</t>
  </si>
  <si>
    <t>杨金平</t>
    <phoneticPr fontId="17" type="noConversion"/>
  </si>
  <si>
    <t>段曼琦</t>
  </si>
  <si>
    <t>段曼琦</t>
    <phoneticPr fontId="17" type="noConversion"/>
  </si>
  <si>
    <t>后端</t>
    <phoneticPr fontId="17" type="noConversion"/>
  </si>
  <si>
    <t>同步MDM组织信息job</t>
    <phoneticPr fontId="17" type="noConversion"/>
  </si>
  <si>
    <t>同步MDM岗位信息JOB</t>
    <phoneticPr fontId="17" type="noConversion"/>
  </si>
  <si>
    <t>STIC-HR-025</t>
  </si>
  <si>
    <t>STIC-HR-026</t>
  </si>
  <si>
    <t>STIC-HR-027</t>
  </si>
  <si>
    <t>每天凌晨同步MDM组织信息至H0平台</t>
    <phoneticPr fontId="17" type="noConversion"/>
  </si>
  <si>
    <t>每天凌晨同步MDM岗位信息至H0平台</t>
    <phoneticPr fontId="17" type="noConversion"/>
  </si>
  <si>
    <t>岗位预解析接口</t>
    <phoneticPr fontId="17" type="noConversion"/>
  </si>
  <si>
    <t>岗位在进行更新/新建时，若岗位状态为启用，则异步调用岗位预解析接口，将岗位预解析编排的数据，提前存到表中。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</si>
</sst>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_ "/>
    <numFmt numFmtId="178" formatCode="0;_蠀"/>
    <numFmt numFmtId="179" formatCode="0.0;_蠀"/>
    <numFmt numFmtId="180" formatCode="dd"/>
  </numFmts>
  <fonts count="24" x14ac:knownFonts="1">
    <font>
      <sz val="12"/>
      <name val="宋体"/>
      <charset val="134"/>
    </font>
    <font>
      <b/>
      <sz val="10"/>
      <name val="Arial"/>
      <family val="2"/>
    </font>
    <font>
      <sz val="10"/>
      <name val="Arial"/>
      <family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6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Arial"/>
      <family val="2"/>
    </font>
    <font>
      <b/>
      <sz val="9"/>
      <name val="宋体"/>
      <family val="3"/>
      <charset val="134"/>
      <scheme val="minor"/>
    </font>
    <font>
      <sz val="11"/>
      <color rgb="FF9C0006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sz val="9"/>
      <name val="Tahoma"/>
      <family val="2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9"/>
      <name val="Tahoma"/>
      <family val="2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65"/>
      </left>
      <right/>
      <top style="thin">
        <color auto="1"/>
      </top>
      <bottom/>
      <diagonal/>
    </border>
    <border>
      <left style="thin">
        <color auto="1"/>
      </left>
      <right/>
      <top style="thin">
        <color indexed="65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 style="thin">
        <color indexed="65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5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rgb="FF999999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auto="1"/>
      </left>
      <right/>
      <top style="thin">
        <color rgb="FF999999"/>
      </top>
      <bottom style="thin">
        <color auto="1"/>
      </bottom>
      <diagonal/>
    </border>
    <border>
      <left style="thin">
        <color indexed="65"/>
      </left>
      <right/>
      <top style="thin">
        <color rgb="FF999999"/>
      </top>
      <bottom style="thin">
        <color auto="1"/>
      </bottom>
      <diagonal/>
    </border>
    <border>
      <left style="thin">
        <color rgb="FF999999"/>
      </left>
      <right style="thin">
        <color auto="1"/>
      </right>
      <top style="thin">
        <color auto="1"/>
      </top>
      <bottom/>
      <diagonal/>
    </border>
    <border>
      <left style="thin">
        <color rgb="FF999999"/>
      </left>
      <right style="thin">
        <color auto="1"/>
      </right>
      <top style="thin">
        <color rgb="FF999999"/>
      </top>
      <bottom/>
      <diagonal/>
    </border>
    <border>
      <left style="thin">
        <color rgb="FF999999"/>
      </left>
      <right style="thin">
        <color auto="1"/>
      </right>
      <top style="thin">
        <color rgb="FF999999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 style="thin">
        <color auto="1"/>
      </bottom>
      <diagonal/>
    </border>
  </borders>
  <cellStyleXfs count="6">
    <xf numFmtId="0" fontId="0" fillId="0" borderId="0"/>
    <xf numFmtId="0" fontId="13" fillId="13" borderId="0" applyNumberFormat="0" applyBorder="0" applyAlignment="0" applyProtection="0">
      <alignment vertical="center"/>
    </xf>
    <xf numFmtId="0" fontId="21" fillId="0" borderId="0">
      <alignment vertical="center"/>
    </xf>
    <xf numFmtId="0" fontId="10" fillId="0" borderId="0">
      <alignment vertical="center"/>
    </xf>
    <xf numFmtId="0" fontId="2" fillId="0" borderId="0"/>
    <xf numFmtId="0" fontId="14" fillId="12" borderId="0" applyNumberFormat="0" applyBorder="0" applyAlignment="0" applyProtection="0">
      <alignment vertical="center"/>
    </xf>
  </cellStyleXfs>
  <cellXfs count="147">
    <xf numFmtId="0" fontId="0" fillId="0" borderId="0" xfId="0" applyAlignment="1">
      <alignment vertical="center"/>
    </xf>
    <xf numFmtId="0" fontId="1" fillId="0" borderId="0" xfId="4" applyFont="1"/>
    <xf numFmtId="0" fontId="2" fillId="0" borderId="0" xfId="4"/>
    <xf numFmtId="0" fontId="2" fillId="0" borderId="1" xfId="4" applyBorder="1"/>
    <xf numFmtId="176" fontId="2" fillId="0" borderId="1" xfId="4" applyNumberFormat="1" applyBorder="1"/>
    <xf numFmtId="0" fontId="3" fillId="0" borderId="1" xfId="4" applyFont="1" applyBorder="1"/>
    <xf numFmtId="0" fontId="2" fillId="0" borderId="2" xfId="4" applyBorder="1"/>
    <xf numFmtId="0" fontId="2" fillId="0" borderId="3" xfId="4" applyBorder="1"/>
    <xf numFmtId="0" fontId="2" fillId="0" borderId="4" xfId="4" applyBorder="1"/>
    <xf numFmtId="0" fontId="2" fillId="0" borderId="5" xfId="4" applyBorder="1"/>
    <xf numFmtId="0" fontId="2" fillId="0" borderId="6" xfId="4" applyBorder="1"/>
    <xf numFmtId="0" fontId="2" fillId="0" borderId="7" xfId="4" applyBorder="1"/>
    <xf numFmtId="0" fontId="2" fillId="0" borderId="8" xfId="4" applyBorder="1"/>
    <xf numFmtId="0" fontId="2" fillId="0" borderId="9" xfId="4" applyBorder="1"/>
    <xf numFmtId="0" fontId="2" fillId="0" borderId="10" xfId="4" applyBorder="1"/>
    <xf numFmtId="0" fontId="2" fillId="0" borderId="11" xfId="4" applyBorder="1"/>
    <xf numFmtId="176" fontId="2" fillId="0" borderId="10" xfId="4" applyNumberFormat="1" applyBorder="1"/>
    <xf numFmtId="176" fontId="2" fillId="0" borderId="0" xfId="4" applyNumberFormat="1"/>
    <xf numFmtId="176" fontId="2" fillId="0" borderId="11" xfId="4" applyNumberFormat="1" applyBorder="1"/>
    <xf numFmtId="0" fontId="4" fillId="2" borderId="0" xfId="0" applyFont="1" applyFill="1"/>
    <xf numFmtId="0" fontId="4" fillId="2" borderId="0" xfId="4" applyFont="1" applyFill="1"/>
    <xf numFmtId="0" fontId="1" fillId="2" borderId="0" xfId="4" applyFont="1" applyFill="1"/>
    <xf numFmtId="0" fontId="3" fillId="2" borderId="0" xfId="0" applyFont="1" applyFill="1"/>
    <xf numFmtId="0" fontId="3" fillId="2" borderId="0" xfId="4" applyFont="1" applyFill="1"/>
    <xf numFmtId="0" fontId="3" fillId="2" borderId="0" xfId="0" applyFont="1" applyFill="1" applyAlignment="1">
      <alignment vertical="center"/>
    </xf>
    <xf numFmtId="0" fontId="2" fillId="0" borderId="12" xfId="4" applyBorder="1"/>
    <xf numFmtId="0" fontId="2" fillId="0" borderId="13" xfId="4" applyBorder="1"/>
    <xf numFmtId="176" fontId="2" fillId="0" borderId="14" xfId="4" applyNumberFormat="1" applyBorder="1"/>
    <xf numFmtId="0" fontId="2" fillId="0" borderId="14" xfId="4" applyBorder="1"/>
    <xf numFmtId="0" fontId="1" fillId="3" borderId="15" xfId="4" applyFont="1" applyFill="1" applyBorder="1"/>
    <xf numFmtId="0" fontId="1" fillId="4" borderId="0" xfId="4" applyFont="1" applyFill="1"/>
    <xf numFmtId="0" fontId="3" fillId="5" borderId="15" xfId="4" applyFont="1" applyFill="1" applyBorder="1"/>
    <xf numFmtId="0" fontId="3" fillId="4" borderId="0" xfId="4" applyFont="1" applyFill="1"/>
    <xf numFmtId="0" fontId="3" fillId="0" borderId="0" xfId="4" applyFont="1"/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left" vertical="center"/>
    </xf>
    <xf numFmtId="0" fontId="3" fillId="0" borderId="35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4" fillId="8" borderId="38" xfId="0" applyFont="1" applyFill="1" applyBorder="1" applyAlignment="1">
      <alignment vertical="center"/>
    </xf>
    <xf numFmtId="0" fontId="4" fillId="8" borderId="39" xfId="0" applyFont="1" applyFill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40" xfId="0" applyFont="1" applyBorder="1" applyAlignment="1">
      <alignment vertical="center"/>
    </xf>
    <xf numFmtId="0" fontId="3" fillId="0" borderId="41" xfId="0" applyFont="1" applyBorder="1" applyAlignment="1">
      <alignment vertical="center"/>
    </xf>
    <xf numFmtId="177" fontId="4" fillId="8" borderId="42" xfId="0" applyNumberFormat="1" applyFont="1" applyFill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6" borderId="15" xfId="0" applyFont="1" applyFill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7" fillId="0" borderId="15" xfId="0" applyFont="1" applyBorder="1" applyAlignment="1">
      <alignment horizontal="left" vertical="center" wrapText="1"/>
    </xf>
    <xf numFmtId="0" fontId="8" fillId="0" borderId="15" xfId="0" applyFont="1" applyBorder="1" applyAlignment="1">
      <alignment vertical="center" wrapText="1"/>
    </xf>
    <xf numFmtId="0" fontId="6" fillId="0" borderId="15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wrapText="1"/>
    </xf>
    <xf numFmtId="0" fontId="9" fillId="0" borderId="15" xfId="0" applyFont="1" applyBorder="1" applyAlignment="1">
      <alignment horizontal="left" wrapText="1"/>
    </xf>
    <xf numFmtId="0" fontId="3" fillId="0" borderId="0" xfId="0" applyFont="1" applyAlignment="1">
      <alignment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5" fillId="0" borderId="23" xfId="0" applyFont="1" applyBorder="1" applyAlignment="1">
      <alignment horizontal="center" vertical="center"/>
    </xf>
    <xf numFmtId="0" fontId="5" fillId="0" borderId="23" xfId="0" applyFont="1" applyBorder="1" applyAlignment="1">
      <alignment vertical="center"/>
    </xf>
    <xf numFmtId="0" fontId="4" fillId="0" borderId="23" xfId="0" applyFont="1" applyBorder="1" applyAlignment="1">
      <alignment horizontal="left" vertical="top"/>
    </xf>
    <xf numFmtId="0" fontId="3" fillId="9" borderId="25" xfId="0" applyFont="1" applyFill="1" applyBorder="1" applyAlignment="1">
      <alignment horizontal="center" vertical="center" wrapText="1"/>
    </xf>
    <xf numFmtId="0" fontId="3" fillId="9" borderId="26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left" vertical="top" wrapText="1"/>
    </xf>
    <xf numFmtId="0" fontId="10" fillId="0" borderId="15" xfId="0" applyFont="1" applyBorder="1" applyAlignment="1">
      <alignment wrapText="1"/>
    </xf>
    <xf numFmtId="0" fontId="5" fillId="0" borderId="20" xfId="0" applyFont="1" applyBorder="1" applyAlignment="1">
      <alignment horizontal="center" vertical="center"/>
    </xf>
    <xf numFmtId="178" fontId="4" fillId="0" borderId="15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179" fontId="2" fillId="8" borderId="15" xfId="0" applyNumberFormat="1" applyFont="1" applyFill="1" applyBorder="1" applyAlignment="1">
      <alignment horizontal="center" vertical="center"/>
    </xf>
    <xf numFmtId="178" fontId="4" fillId="8" borderId="15" xfId="0" applyNumberFormat="1" applyFont="1" applyFill="1" applyBorder="1" applyAlignment="1">
      <alignment horizontal="center" vertical="center"/>
    </xf>
    <xf numFmtId="179" fontId="11" fillId="8" borderId="15" xfId="0" applyNumberFormat="1" applyFont="1" applyFill="1" applyBorder="1" applyAlignment="1">
      <alignment horizontal="center" vertical="center"/>
    </xf>
    <xf numFmtId="14" fontId="3" fillId="0" borderId="15" xfId="0" applyNumberFormat="1" applyFont="1" applyBorder="1" applyAlignment="1">
      <alignment horizontal="center" vertical="center"/>
    </xf>
    <xf numFmtId="0" fontId="12" fillId="11" borderId="20" xfId="0" applyFont="1" applyFill="1" applyBorder="1" applyAlignment="1">
      <alignment horizontal="center" vertical="center"/>
    </xf>
    <xf numFmtId="0" fontId="12" fillId="11" borderId="23" xfId="0" applyFont="1" applyFill="1" applyBorder="1" applyAlignment="1">
      <alignment horizontal="center" vertical="center"/>
    </xf>
    <xf numFmtId="180" fontId="12" fillId="11" borderId="15" xfId="0" applyNumberFormat="1" applyFont="1" applyFill="1" applyBorder="1" applyAlignment="1">
      <alignment horizontal="center" vertical="center"/>
    </xf>
    <xf numFmtId="0" fontId="3" fillId="0" borderId="37" xfId="0" pivotButton="1" applyFont="1" applyBorder="1" applyAlignment="1">
      <alignment vertical="center"/>
    </xf>
    <xf numFmtId="0" fontId="3" fillId="0" borderId="34" xfId="0" pivotButton="1" applyFont="1" applyBorder="1" applyAlignment="1">
      <alignment vertical="center"/>
    </xf>
    <xf numFmtId="0" fontId="3" fillId="0" borderId="36" xfId="0" pivotButton="1" applyFont="1" applyBorder="1" applyAlignment="1">
      <alignment vertical="center"/>
    </xf>
    <xf numFmtId="0" fontId="3" fillId="0" borderId="16" xfId="0" pivotButton="1" applyFont="1" applyBorder="1" applyAlignment="1">
      <alignment vertical="center"/>
    </xf>
    <xf numFmtId="0" fontId="3" fillId="9" borderId="26" xfId="0" applyFont="1" applyFill="1" applyBorder="1" applyAlignment="1">
      <alignment horizontal="center" vertical="center" wrapText="1"/>
    </xf>
    <xf numFmtId="0" fontId="22" fillId="0" borderId="47" xfId="0" pivotButton="1" applyFont="1" applyBorder="1" applyAlignment="1">
      <alignment vertical="center"/>
    </xf>
    <xf numFmtId="0" fontId="22" fillId="0" borderId="47" xfId="0" applyFont="1" applyBorder="1" applyAlignment="1">
      <alignment vertical="center"/>
    </xf>
    <xf numFmtId="0" fontId="22" fillId="0" borderId="43" xfId="0" applyFont="1" applyBorder="1" applyAlignment="1">
      <alignment vertical="center"/>
    </xf>
    <xf numFmtId="0" fontId="22" fillId="0" borderId="43" xfId="0" pivotButton="1" applyFont="1" applyBorder="1" applyAlignment="1">
      <alignment vertical="center"/>
    </xf>
    <xf numFmtId="0" fontId="22" fillId="0" borderId="44" xfId="0" applyFont="1" applyBorder="1" applyAlignment="1">
      <alignment vertical="center"/>
    </xf>
    <xf numFmtId="0" fontId="23" fillId="8" borderId="46" xfId="0" applyFont="1" applyFill="1" applyBorder="1" applyAlignment="1">
      <alignment vertical="center"/>
    </xf>
    <xf numFmtId="0" fontId="23" fillId="0" borderId="43" xfId="0" applyFont="1" applyBorder="1" applyAlignment="1">
      <alignment horizontal="right" vertical="center"/>
    </xf>
    <xf numFmtId="0" fontId="23" fillId="0" borderId="45" xfId="0" applyFont="1" applyBorder="1" applyAlignment="1">
      <alignment horizontal="right" vertical="center"/>
    </xf>
    <xf numFmtId="177" fontId="22" fillId="0" borderId="43" xfId="0" applyNumberFormat="1" applyFont="1" applyBorder="1" applyAlignment="1">
      <alignment vertical="center"/>
    </xf>
    <xf numFmtId="177" fontId="22" fillId="0" borderId="45" xfId="0" applyNumberFormat="1" applyFont="1" applyBorder="1" applyAlignment="1">
      <alignment vertical="center"/>
    </xf>
    <xf numFmtId="0" fontId="22" fillId="0" borderId="48" xfId="0" pivotButton="1" applyFont="1" applyBorder="1" applyAlignment="1">
      <alignment vertical="center"/>
    </xf>
    <xf numFmtId="0" fontId="22" fillId="0" borderId="49" xfId="0" applyFont="1" applyBorder="1" applyAlignment="1">
      <alignment vertical="center"/>
    </xf>
    <xf numFmtId="0" fontId="22" fillId="0" borderId="16" xfId="0" applyFont="1" applyBorder="1" applyAlignment="1">
      <alignment vertical="center"/>
    </xf>
    <xf numFmtId="0" fontId="22" fillId="0" borderId="17" xfId="0" pivotButton="1" applyFont="1" applyBorder="1" applyAlignment="1">
      <alignment vertical="center"/>
    </xf>
    <xf numFmtId="0" fontId="22" fillId="0" borderId="18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22" fillId="0" borderId="22" xfId="0" pivotButton="1" applyFont="1" applyBorder="1" applyAlignment="1">
      <alignment vertical="center"/>
    </xf>
    <xf numFmtId="0" fontId="23" fillId="0" borderId="50" xfId="0" applyFont="1" applyBorder="1" applyAlignment="1">
      <alignment horizontal="right" vertical="center"/>
    </xf>
    <xf numFmtId="0" fontId="22" fillId="0" borderId="22" xfId="0" applyFont="1" applyBorder="1" applyAlignment="1">
      <alignment vertical="center"/>
    </xf>
    <xf numFmtId="177" fontId="22" fillId="0" borderId="50" xfId="0" applyNumberFormat="1" applyFont="1" applyBorder="1" applyAlignment="1">
      <alignment vertical="center"/>
    </xf>
    <xf numFmtId="0" fontId="23" fillId="8" borderId="27" xfId="0" applyFont="1" applyFill="1" applyBorder="1" applyAlignment="1">
      <alignment vertical="center"/>
    </xf>
    <xf numFmtId="177" fontId="23" fillId="8" borderId="29" xfId="0" applyNumberFormat="1" applyFont="1" applyFill="1" applyBorder="1" applyAlignment="1">
      <alignment vertical="center"/>
    </xf>
    <xf numFmtId="177" fontId="23" fillId="8" borderId="28" xfId="0" applyNumberFormat="1" applyFont="1" applyFill="1" applyBorder="1" applyAlignment="1">
      <alignment vertical="center"/>
    </xf>
    <xf numFmtId="177" fontId="23" fillId="8" borderId="51" xfId="0" applyNumberFormat="1" applyFont="1" applyFill="1" applyBorder="1" applyAlignment="1">
      <alignment vertical="center"/>
    </xf>
    <xf numFmtId="0" fontId="22" fillId="0" borderId="52" xfId="0" applyFont="1" applyBorder="1" applyAlignment="1">
      <alignment vertical="center"/>
    </xf>
    <xf numFmtId="0" fontId="23" fillId="8" borderId="53" xfId="0" applyFont="1" applyFill="1" applyBorder="1" applyAlignment="1">
      <alignment vertical="center"/>
    </xf>
    <xf numFmtId="177" fontId="23" fillId="8" borderId="54" xfId="0" applyNumberFormat="1" applyFont="1" applyFill="1" applyBorder="1" applyAlignment="1">
      <alignment vertical="center"/>
    </xf>
    <xf numFmtId="177" fontId="22" fillId="0" borderId="55" xfId="0" applyNumberFormat="1" applyFont="1" applyBorder="1" applyAlignment="1">
      <alignment vertical="center"/>
    </xf>
    <xf numFmtId="0" fontId="22" fillId="0" borderId="16" xfId="0" pivotButton="1" applyFont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22" fillId="0" borderId="56" xfId="0" applyFont="1" applyBorder="1" applyAlignment="1">
      <alignment vertical="center"/>
    </xf>
    <xf numFmtId="177" fontId="22" fillId="0" borderId="56" xfId="0" applyNumberFormat="1" applyFont="1" applyBorder="1" applyAlignment="1">
      <alignment vertical="center"/>
    </xf>
    <xf numFmtId="0" fontId="23" fillId="8" borderId="57" xfId="0" applyFont="1" applyFill="1" applyBorder="1" applyAlignment="1">
      <alignment vertical="center"/>
    </xf>
    <xf numFmtId="177" fontId="23" fillId="8" borderId="33" xfId="0" applyNumberFormat="1" applyFont="1" applyFill="1" applyBorder="1" applyAlignment="1">
      <alignment vertical="center"/>
    </xf>
    <xf numFmtId="0" fontId="22" fillId="6" borderId="16" xfId="0" applyFont="1" applyFill="1" applyBorder="1" applyAlignment="1">
      <alignment vertical="center"/>
    </xf>
    <xf numFmtId="0" fontId="22" fillId="0" borderId="18" xfId="0" pivotButton="1" applyFont="1" applyBorder="1" applyAlignment="1">
      <alignment vertical="center"/>
    </xf>
    <xf numFmtId="0" fontId="22" fillId="6" borderId="30" xfId="0" applyFont="1" applyFill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0" fontId="23" fillId="7" borderId="20" xfId="0" applyNumberFormat="1" applyFont="1" applyFill="1" applyBorder="1" applyAlignment="1">
      <alignment vertical="center"/>
    </xf>
    <xf numFmtId="0" fontId="23" fillId="7" borderId="21" xfId="0" applyNumberFormat="1" applyFont="1" applyFill="1" applyBorder="1" applyAlignment="1">
      <alignment vertical="center"/>
    </xf>
    <xf numFmtId="10" fontId="23" fillId="7" borderId="49" xfId="0" applyNumberFormat="1" applyFont="1" applyFill="1" applyBorder="1" applyAlignment="1">
      <alignment vertical="center"/>
    </xf>
    <xf numFmtId="0" fontId="23" fillId="7" borderId="15" xfId="0" applyFont="1" applyFill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0" fontId="22" fillId="6" borderId="31" xfId="0" applyFont="1" applyFill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9" borderId="16" xfId="0" applyFont="1" applyFill="1" applyBorder="1" applyAlignment="1">
      <alignment horizontal="center" vertical="center" wrapText="1"/>
    </xf>
    <xf numFmtId="178" fontId="4" fillId="0" borderId="20" xfId="0" applyNumberFormat="1" applyFont="1" applyBorder="1" applyAlignment="1">
      <alignment horizontal="center" vertical="center"/>
    </xf>
    <xf numFmtId="178" fontId="4" fillId="0" borderId="2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 wrapText="1"/>
    </xf>
    <xf numFmtId="0" fontId="3" fillId="9" borderId="26" xfId="0" applyFont="1" applyFill="1" applyBorder="1" applyAlignment="1">
      <alignment horizontal="center" vertical="center" wrapText="1"/>
    </xf>
    <xf numFmtId="0" fontId="3" fillId="9" borderId="25" xfId="0" applyFont="1" applyFill="1" applyBorder="1" applyAlignment="1">
      <alignment horizontal="left" vertical="top" wrapText="1"/>
    </xf>
    <xf numFmtId="0" fontId="3" fillId="9" borderId="26" xfId="0" applyFont="1" applyFill="1" applyBorder="1" applyAlignment="1">
      <alignment horizontal="left" vertical="top" wrapText="1"/>
    </xf>
    <xf numFmtId="0" fontId="3" fillId="10" borderId="25" xfId="0" applyFont="1" applyFill="1" applyBorder="1" applyAlignment="1">
      <alignment horizontal="center" vertical="center" wrapText="1"/>
    </xf>
    <xf numFmtId="0" fontId="3" fillId="10" borderId="26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14" fontId="3" fillId="9" borderId="25" xfId="0" applyNumberFormat="1" applyFont="1" applyFill="1" applyBorder="1" applyAlignment="1">
      <alignment horizontal="center" vertical="center" wrapText="1"/>
    </xf>
    <xf numFmtId="14" fontId="3" fillId="9" borderId="26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6">
    <cellStyle name="差_MEMO1" xfId="1" xr:uid="{00000000-0005-0000-0000-000000000000}"/>
    <cellStyle name="常规" xfId="0" builtinId="0"/>
    <cellStyle name="常规 2" xfId="2" xr:uid="{00000000-0005-0000-0000-000002000000}"/>
    <cellStyle name="常规 3" xfId="3" xr:uid="{00000000-0005-0000-0000-000003000000}"/>
    <cellStyle name="常规_MD020-BDLL-开发人天预估_V1.0" xfId="4" xr:uid="{00000000-0005-0000-0000-000004000000}"/>
    <cellStyle name="好_MEMO1" xfId="5" xr:uid="{00000000-0005-0000-0000-000005000000}"/>
  </cellStyles>
  <dxfs count="263"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B050"/>
      </font>
      <fill>
        <patternFill patternType="solid">
          <bgColor rgb="FF00B050"/>
        </patternFill>
      </fill>
    </dxf>
    <dxf>
      <font>
        <color theme="1" tint="0.499984740745262"/>
      </font>
      <fill>
        <patternFill patternType="solid">
          <bgColor theme="1" tint="0.499984740745262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B050"/>
      </font>
      <fill>
        <patternFill patternType="solid">
          <bgColor rgb="FF00B050"/>
        </patternFill>
      </fill>
    </dxf>
    <dxf>
      <font>
        <color theme="1" tint="0.499984740745262"/>
      </font>
      <fill>
        <patternFill patternType="solid">
          <bgColor theme="1" tint="0.499984740745262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B050"/>
      </font>
      <fill>
        <patternFill patternType="solid">
          <bgColor rgb="FF00B050"/>
        </patternFill>
      </fill>
    </dxf>
    <dxf>
      <font>
        <color theme="1" tint="0.499984740745262"/>
      </font>
      <fill>
        <patternFill patternType="solid">
          <bgColor theme="1" tint="0.499984740745262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border>
        <bottom style="thin">
          <color auto="1"/>
        </bottom>
      </border>
    </dxf>
    <dxf>
      <fill>
        <patternFill patternType="none"/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8" tint="0.39963988158818325"/>
        </patternFill>
      </fill>
    </dxf>
    <dxf>
      <fill>
        <patternFill patternType="solid">
          <bgColor theme="8" tint="0.39963988158818325"/>
        </patternFill>
      </fill>
    </dxf>
    <dxf>
      <fill>
        <patternFill patternType="solid">
          <bgColor theme="8" tint="0.39963988158818325"/>
        </patternFill>
      </fill>
    </dxf>
    <dxf>
      <fill>
        <patternFill patternType="solid">
          <bgColor theme="8" tint="0.39963988158818325"/>
        </patternFill>
      </fill>
    </dxf>
    <dxf>
      <fill>
        <patternFill patternType="solid">
          <bgColor theme="8" tint="0.39963988158818325"/>
        </patternFill>
      </fill>
    </dxf>
    <dxf>
      <fill>
        <patternFill patternType="solid">
          <bgColor theme="8" tint="0.39963988158818325"/>
        </patternFill>
      </fill>
    </dxf>
    <dxf>
      <fill>
        <patternFill patternType="solid">
          <bgColor theme="8" tint="0.39963988158818325"/>
        </patternFill>
      </fill>
    </dxf>
    <dxf>
      <fill>
        <patternFill patternType="solid">
          <bgColor theme="8" tint="0.39963988158818325"/>
        </patternFill>
      </fill>
    </dxf>
    <dxf>
      <fill>
        <patternFill patternType="solid">
          <bgColor theme="8" tint="0.3996398815881832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8" tint="0.39963988158818325"/>
        </patternFill>
      </fill>
    </dxf>
    <dxf>
      <fill>
        <patternFill patternType="solid">
          <bgColor theme="8" tint="0.39963988158818325"/>
        </patternFill>
      </fill>
    </dxf>
    <dxf>
      <fill>
        <patternFill patternType="solid">
          <bgColor theme="8" tint="0.39963988158818325"/>
        </patternFill>
      </fill>
    </dxf>
    <dxf>
      <fill>
        <patternFill patternType="solid">
          <bgColor theme="8" tint="0.39963988158818325"/>
        </patternFill>
      </fill>
    </dxf>
    <dxf>
      <fill>
        <patternFill patternType="solid">
          <bgColor theme="8" tint="0.39963988158818325"/>
        </patternFill>
      </fill>
    </dxf>
    <dxf>
      <fill>
        <patternFill patternType="solid">
          <bgColor theme="8" tint="0.39963988158818325"/>
        </patternFill>
      </fill>
    </dxf>
    <dxf>
      <fill>
        <patternFill patternType="solid">
          <bgColor theme="8" tint="0.39963988158818325"/>
        </patternFill>
      </fill>
    </dxf>
    <dxf>
      <fill>
        <patternFill patternType="solid">
          <bgColor theme="8" tint="0.39963988158818325"/>
        </patternFill>
      </fill>
    </dxf>
    <dxf>
      <fill>
        <patternFill patternType="solid">
          <bgColor theme="8" tint="0.39963988158818325"/>
        </patternFill>
      </fill>
    </dxf>
    <dxf>
      <fill>
        <patternFill patternType="solid">
          <bgColor theme="5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0.3996398815881832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8" tint="0.59999389629810485"/>
        </patternFill>
      </fill>
    </dxf>
    <dxf>
      <fill>
        <patternFill patternType="solid">
          <bgColor theme="8" tint="0.3996398815881832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8" tint="0.39963988158818325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/>
      </fill>
    </dxf>
    <dxf>
      <fill>
        <patternFill patternType="solid"/>
      </fill>
    </dxf>
    <dxf>
      <fill>
        <patternFill patternType="none"/>
      </fill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ill>
        <patternFill patternType="solid">
          <bgColor theme="0" tint="-0.249977111117893"/>
        </patternFill>
      </fill>
    </dxf>
    <dxf>
      <font>
        <sz val="10"/>
      </font>
    </dxf>
    <dxf>
      <font>
        <b/>
      </font>
    </dxf>
    <dxf>
      <font>
        <b/>
      </font>
    </dxf>
    <dxf>
      <fill>
        <patternFill patternType="solid">
          <bgColor theme="8" tint="0.39963988158818325"/>
        </patternFill>
      </fill>
    </dxf>
    <dxf>
      <fill>
        <patternFill patternType="solid">
          <bgColor theme="8" tint="0.3996398815881832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_ "/>
    </dxf>
    <dxf>
      <alignment horizontal="right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/>
      </font>
    </dxf>
    <dxf>
      <font>
        <sz val="10"/>
      </font>
    </dxf>
    <dxf>
      <font>
        <b/>
      </font>
    </dxf>
    <dxf>
      <font>
        <b/>
      </font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_ "/>
    </dxf>
    <dxf>
      <alignment horizontal="right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/>
      </font>
    </dxf>
    <dxf>
      <font>
        <sz val="10"/>
      </font>
    </dxf>
    <dxf>
      <font>
        <b/>
      </font>
    </dxf>
    <dxf>
      <font>
        <b/>
      </font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_ "/>
    </dxf>
    <dxf>
      <alignment horizontal="right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/>
      </font>
    </dxf>
    <dxf>
      <font>
        <sz val="10"/>
      </font>
    </dxf>
    <dxf>
      <font>
        <b/>
      </font>
    </dxf>
    <dxf>
      <font>
        <b/>
      </font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_ "/>
    </dxf>
    <dxf>
      <alignment horizontal="right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/>
      </font>
    </dxf>
    <dxf>
      <font>
        <sz val="10"/>
      </font>
    </dxf>
    <dxf>
      <font>
        <b/>
      </font>
    </dxf>
    <dxf>
      <font>
        <b/>
      </font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_ "/>
    </dxf>
    <dxf>
      <alignment horizontal="right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/>
      </font>
    </dxf>
    <dxf>
      <font>
        <sz val="10"/>
      </font>
    </dxf>
    <dxf>
      <font>
        <b/>
      </font>
    </dxf>
    <dxf>
      <font>
        <b/>
      </font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border>
        <left style="thin">
          <color auto="1"/>
        </left>
        <right style="thin">
          <color auto="1"/>
        </right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_ "/>
    </dxf>
    <dxf>
      <alignment horizontal="right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/>
      </font>
    </dxf>
    <dxf>
      <font>
        <sz val="10"/>
      </font>
    </dxf>
    <dxf>
      <font>
        <b/>
      </font>
    </dxf>
    <dxf>
      <font>
        <b/>
      </font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77" formatCode="0_ "/>
    </dxf>
    <dxf>
      <alignment horizontal="right"/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ill>
        <patternFill patternType="solid">
          <bgColor indexed="44"/>
        </patternFill>
      </fill>
    </dxf>
    <dxf>
      <font>
        <b/>
      </font>
    </dxf>
    <dxf>
      <font>
        <sz val="10"/>
      </font>
    </dxf>
    <dxf>
      <font>
        <b/>
      </font>
    </dxf>
    <dxf>
      <font>
        <b/>
      </font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B050"/>
      </font>
      <fill>
        <patternFill patternType="solid">
          <bgColor rgb="FF00B050"/>
        </patternFill>
      </fill>
    </dxf>
    <dxf>
      <font>
        <color theme="1" tint="0.499984740745262"/>
      </font>
      <fill>
        <patternFill patternType="solid">
          <bgColor theme="1" tint="0.499984740745262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B050"/>
      </font>
      <fill>
        <patternFill patternType="solid">
          <bgColor rgb="FF00B050"/>
        </patternFill>
      </fill>
    </dxf>
    <dxf>
      <font>
        <color theme="1" tint="0.499984740745262"/>
      </font>
      <fill>
        <patternFill patternType="solid">
          <bgColor theme="1" tint="0.499984740745262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B050"/>
      </font>
      <fill>
        <patternFill patternType="solid">
          <bgColor rgb="FF00B050"/>
        </patternFill>
      </fill>
    </dxf>
    <dxf>
      <font>
        <color theme="1" tint="0.499984740745262"/>
      </font>
      <fill>
        <patternFill patternType="solid">
          <bgColor theme="1" tint="0.499984740745262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B050"/>
      </font>
      <fill>
        <patternFill patternType="solid">
          <bgColor rgb="FF00B050"/>
        </patternFill>
      </fill>
    </dxf>
    <dxf>
      <font>
        <color theme="1" tint="0.499984740745262"/>
      </font>
      <fill>
        <patternFill patternType="solid">
          <bgColor theme="1" tint="0.499984740745262"/>
        </patternFill>
      </fill>
    </dxf>
    <dxf>
      <font>
        <color rgb="FFFFFF00"/>
      </font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70C0"/>
      </font>
      <fill>
        <patternFill patternType="solid">
          <bgColor rgb="FF0070C0"/>
        </patternFill>
      </fill>
    </dxf>
    <dxf>
      <font>
        <color rgb="FFFF0000"/>
      </font>
      <fill>
        <patternFill patternType="solid">
          <bgColor rgb="FFFF0000"/>
        </patternFill>
      </fill>
    </dxf>
    <dxf>
      <font>
        <color rgb="FF00B050"/>
      </font>
      <fill>
        <patternFill patternType="solid">
          <bgColor rgb="FF00B050"/>
        </patternFill>
      </fill>
    </dxf>
    <dxf>
      <font>
        <color theme="1" tint="0.499984740745262"/>
      </font>
      <fill>
        <patternFill patternType="solid">
          <bgColor theme="1" tint="0.499984740745262"/>
        </patternFill>
      </fill>
    </dxf>
    <dxf>
      <font>
        <color rgb="FFFFFF00"/>
      </font>
      <fill>
        <patternFill patternType="solid">
          <bgColor rgb="FFFFFF00"/>
        </patternFill>
      </fill>
    </dxf>
  </dxfs>
  <tableStyles count="0" defaultTableStyle="TableStyleMedium9" defaultPivotStyle="PivotStyleLight16"/>
  <colors>
    <mruColors>
      <color rgb="FF009900"/>
      <color rgb="FF66CCFF"/>
      <color rgb="FFFF99CC"/>
      <color rgb="FFFF6699"/>
      <color rgb="FF0066CC"/>
      <color rgb="FFCCFF99"/>
      <color rgb="FFFFFFFF"/>
      <color rgb="FF0000FF"/>
      <color rgb="FF0066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guliujie\Library\Containers\com.microsoft.Excel\Data\Documents\E:\Users\zhangqian\Desktop\D:\&#24037;&#20316;\&#26631;&#20934;&#21270;\&#27721;&#24471;&#26631;&#20934;&#21270;&#20135;&#21697;&#28165;&#21333;_V2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模块区分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85.888230324075" createdVersion="4" refreshedVersion="8" minRefreshableVersion="3" recordCount="1" xr:uid="{00000000-000A-0000-FFFF-FFFF00000000}">
  <cacheSource type="worksheet">
    <worksheetSource ref="B2:AY3" sheet="开发清单"/>
  </cacheSource>
  <cacheFields count="56">
    <cacheField name="模块" numFmtId="0">
      <sharedItems containsNonDate="0" containsBlank="1" count="12">
        <m/>
        <s v="移植" u="1"/>
        <s v="PO" u="1"/>
        <s v="AR" u="1"/>
        <s v="INV" u="1"/>
        <s v="QP" u="1"/>
        <s v="实施" u="1"/>
        <s v="BSM" u="1"/>
        <s v="OM" u="1"/>
        <s v="FIN" u="1"/>
        <s v="AP" u="1"/>
        <s v="GL" u="1"/>
      </sharedItems>
    </cacheField>
    <cacheField name="功能名称" numFmtId="0">
      <sharedItems containsNonDate="0" containsString="0" containsBlank="1"/>
    </cacheField>
    <cacheField name="功能编号" numFmtId="0">
      <sharedItems containsNonDate="0" containsString="0" containsBlank="1"/>
    </cacheField>
    <cacheField name="编号" numFmtId="0">
      <sharedItems containsNonDate="0" containsString="0" containsBlank="1"/>
    </cacheField>
    <cacheField name="接口对接系统" numFmtId="0">
      <sharedItems containsNonDate="0" containsString="0" containsBlank="1"/>
    </cacheField>
    <cacheField name="任务" numFmtId="0">
      <sharedItems containsNonDate="0" containsString="0" containsBlank="1"/>
    </cacheField>
    <cacheField name="说明及参考" numFmtId="0">
      <sharedItems containsNonDate="0" containsString="0" containsBlank="1"/>
    </cacheField>
    <cacheField name="完成阶段" numFmtId="0">
      <sharedItems containsNonDate="0" containsBlank="1" count="5">
        <m/>
        <s v="UAT前" u="1"/>
        <s v="SIT前" u="1"/>
        <s v="上线前" u="1"/>
        <s v="上线后" u="1"/>
      </sharedItems>
    </cacheField>
    <cacheField name="开发模式" numFmtId="0">
      <sharedItems containsNonDate="0" containsString="0" containsBlank="1"/>
    </cacheField>
    <cacheField name="状态" numFmtId="0">
      <sharedItems containsNonDate="0" containsString="0" containsBlank="1"/>
    </cacheField>
    <cacheField name="类型" numFmtId="0">
      <sharedItems containsNonDate="0" containsString="0" containsBlank="1"/>
    </cacheField>
    <cacheField name="开发方式" numFmtId="0">
      <sharedItems containsNonDate="0" containsBlank="1" count="14">
        <m/>
        <s v="Program" u="1"/>
        <s v="JSP" u="1"/>
        <s v="JavaBean" u="1"/>
        <s v="OAF" u="1"/>
        <s v="WebAdi" u="1"/>
        <s v="Report" u="1"/>
        <s v="Table" u="1"/>
        <s v="XMLP" u="1"/>
        <s v="Form" u="1"/>
        <s v="Form Mod" u="1"/>
        <s v="DB Trigger" u="1"/>
        <s v="个性化" u="1"/>
        <s v="Menu" u="1"/>
      </sharedItems>
    </cacheField>
    <cacheField name="难度" numFmtId="0">
      <sharedItems containsNonDate="0" containsString="0" containsBlank="1"/>
    </cacheField>
    <cacheField name="设计" numFmtId="0">
      <sharedItems containsNonDate="0" containsString="0" containsBlank="1"/>
    </cacheField>
    <cacheField name="编码" numFmtId="0">
      <sharedItems containsNonDate="0" containsString="0" containsBlank="1"/>
    </cacheField>
    <cacheField name="升级" numFmtId="0">
      <sharedItems containsNonDate="0" containsString="0" containsBlank="1"/>
    </cacheField>
    <cacheField name="功能设计" numFmtId="0">
      <sharedItems containsNonDate="0" containsString="0" containsBlank="1"/>
    </cacheField>
    <cacheField name="技术设计" numFmtId="0">
      <sharedItems containsNonDate="0" containsString="0" containsBlank="1"/>
    </cacheField>
    <cacheField name="编码及单元测试" numFmtId="0">
      <sharedItems containsNonDate="0" containsString="0" containsBlank="1"/>
    </cacheField>
    <cacheField name="顾问测试" numFmtId="0">
      <sharedItems containsNonDate="0" containsString="0" containsBlank="1"/>
    </cacheField>
    <cacheField name="安装" numFmtId="0">
      <sharedItems containsNonDate="0" containsString="0" containsBlank="1"/>
    </cacheField>
    <cacheField name="首次交付" numFmtId="0">
      <sharedItems containsNonDate="0" containsString="0" containsBlank="1"/>
    </cacheField>
    <cacheField name="上线人天" numFmtId="0">
      <sharedItems containsNonDate="0" containsString="0" containsBlank="1"/>
    </cacheField>
    <cacheField name="技术人天" numFmtId="0">
      <sharedItems containsNonDate="0" containsString="0" containsBlank="1"/>
    </cacheField>
    <cacheField name="功能人天" numFmtId="0">
      <sharedItems containsNonDate="0" containsString="0" containsBlank="1"/>
    </cacheField>
    <cacheField name="合计人天" numFmtId="0">
      <sharedItems containsNonDate="0" containsString="0" containsBlank="1"/>
    </cacheField>
    <cacheField name="是否SOW" numFmtId="0">
      <sharedItems containsNonDate="0" containsString="0" containsBlank="1"/>
    </cacheField>
    <cacheField name="SOW人天" numFmtId="0">
      <sharedItems containsNonDate="0" containsString="0" containsBlank="1"/>
    </cacheField>
    <cacheField name="是否变更" numFmtId="0">
      <sharedItems containsNonDate="0" containsString="0" containsBlank="1"/>
    </cacheField>
    <cacheField name="变更人天" numFmtId="0">
      <sharedItems containsNonDate="0" containsString="0" containsBlank="1"/>
    </cacheField>
    <cacheField name="设计者" numFmtId="0">
      <sharedItems containsNonDate="0" containsString="0" containsBlank="1"/>
    </cacheField>
    <cacheField name="状态2" numFmtId="0">
      <sharedItems containsNonDate="0" containsString="0" containsBlank="1"/>
    </cacheField>
    <cacheField name="开始时间" numFmtId="0">
      <sharedItems containsNonDate="0" containsString="0" containsBlank="1"/>
    </cacheField>
    <cacheField name="完成时间" numFmtId="0">
      <sharedItems containsNonDate="0" containsString="0" containsBlank="1"/>
    </cacheField>
    <cacheField name="开发者" numFmtId="0">
      <sharedItems containsNonDate="0" containsBlank="1" count="3">
        <m/>
        <s v="技术组" u="1"/>
        <s v="项目组" u="1"/>
      </sharedItems>
    </cacheField>
    <cacheField name="状态3" numFmtId="0">
      <sharedItems containsNonDate="0" containsString="0" containsBlank="1"/>
    </cacheField>
    <cacheField name="开始时间2" numFmtId="0">
      <sharedItems containsNonDate="0" containsString="0" containsBlank="1"/>
    </cacheField>
    <cacheField name="完成时间2" numFmtId="0">
      <sharedItems containsNonDate="0" containsString="0" containsBlank="1"/>
    </cacheField>
    <cacheField name="测试者" numFmtId="0">
      <sharedItems containsNonDate="0" containsString="0" containsBlank="1"/>
    </cacheField>
    <cacheField name="状态4" numFmtId="0">
      <sharedItems containsNonDate="0" containsString="0" containsBlank="1"/>
    </cacheField>
    <cacheField name="开始时间3" numFmtId="0">
      <sharedItems containsNonDate="0" containsString="0" containsBlank="1"/>
    </cacheField>
    <cacheField name="完成时间3" numFmtId="0">
      <sharedItems containsNonDate="0" containsString="0" containsBlank="1"/>
    </cacheField>
    <cacheField name="用户" numFmtId="14">
      <sharedItems containsNonDate="0" containsString="0" containsBlank="1"/>
    </cacheField>
    <cacheField name="状态5" numFmtId="14">
      <sharedItems containsNonDate="0" containsString="0" containsBlank="1"/>
    </cacheField>
    <cacheField name="开始时间4" numFmtId="0">
      <sharedItems containsNonDate="0" containsString="0" containsBlank="1"/>
    </cacheField>
    <cacheField name="完成时间4" numFmtId="0">
      <sharedItems containsNonDate="0" containsString="0" containsBlank="1"/>
    </cacheField>
    <cacheField name="复查者" numFmtId="0">
      <sharedItems containsNonDate="0" containsString="0" containsBlank="1"/>
    </cacheField>
    <cacheField name="状态6" numFmtId="14">
      <sharedItems containsNonDate="0" containsString="0" containsBlank="1"/>
    </cacheField>
    <cacheField name="截止日期" numFmtId="14">
      <sharedItems containsNonDate="0" containsString="0" containsBlank="1"/>
    </cacheField>
    <cacheField name="复查备注" numFmtId="14">
      <sharedItems containsNonDate="0" containsString="0" containsBlank="1"/>
    </cacheField>
    <cacheField name="公司" numFmtId="0">
      <sharedItems containsNonDate="0" containsString="0" containsBlank="1"/>
    </cacheField>
    <cacheField name="项目名称" numFmtId="0">
      <sharedItems containsNonDate="0" containsString="0" containsBlank="1"/>
    </cacheField>
    <cacheField name="备注" numFmtId="0">
      <sharedItems containsNonDate="0" containsString="0" containsBlank="1"/>
    </cacheField>
    <cacheField name="负责人" numFmtId="0">
      <sharedItems containsNonDate="0" containsString="0" containsBlank="1"/>
    </cacheField>
    <cacheField name="开发者2" numFmtId="0">
      <sharedItems containsNonDate="0" containsString="0" containsBlank="1"/>
    </cacheField>
    <cacheField name="任务个数" numFmtId="0" formula="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547.839481712967" missingItemsLimit="0" createdVersion="3" refreshedVersion="4" minRefreshableVersion="3" recordCount="1" xr:uid="{00000000-000A-0000-FFFF-FFFF01000000}">
  <cacheSource type="worksheet">
    <worksheetSource ref="B2:AS3" sheet="开发清单"/>
  </cacheSource>
  <cacheFields count="45">
    <cacheField name="模块" numFmtId="0">
      <sharedItems containsNonDate="0" containsString="0" containsBlank="1" count="1">
        <m/>
      </sharedItems>
    </cacheField>
    <cacheField name="功能名称" numFmtId="0">
      <sharedItems containsNonDate="0" containsString="0" containsBlank="1"/>
    </cacheField>
    <cacheField name="功能编号" numFmtId="0">
      <sharedItems containsNonDate="0" containsString="0" containsBlank="1"/>
    </cacheField>
    <cacheField name="编号" numFmtId="0">
      <sharedItems containsNonDate="0" containsString="0" containsBlank="1"/>
    </cacheField>
    <cacheField name="分类" numFmtId="0">
      <sharedItems containsNonDate="0" containsString="0" containsBlank="1"/>
    </cacheField>
    <cacheField name="任务" numFmtId="0">
      <sharedItems containsNonDate="0" containsString="0" containsBlank="1"/>
    </cacheField>
    <cacheField name="说明及参考" numFmtId="0">
      <sharedItems containsNonDate="0" containsString="0" containsBlank="1"/>
    </cacheField>
    <cacheField name="完成阶段" numFmtId="0">
      <sharedItems containsNonDate="0" containsString="0" containsBlank="1" count="1">
        <m/>
      </sharedItems>
    </cacheField>
    <cacheField name="开发模式" numFmtId="0">
      <sharedItems containsNonDate="0" containsString="0" containsBlank="1"/>
    </cacheField>
    <cacheField name="状态" numFmtId="0">
      <sharedItems containsNonDate="0" containsString="0" containsBlank="1" count="1">
        <m/>
      </sharedItems>
    </cacheField>
    <cacheField name="类型" numFmtId="0">
      <sharedItems containsNonDate="0" containsString="0" containsBlank="1"/>
    </cacheField>
    <cacheField name="开发方式" numFmtId="0">
      <sharedItems containsNonDate="0" containsString="0" containsBlank="1"/>
    </cacheField>
    <cacheField name="难度" numFmtId="0">
      <sharedItems containsNonDate="0" containsString="0" containsBlank="1"/>
    </cacheField>
    <cacheField name="设计" numFmtId="0">
      <sharedItems containsNonDate="0" containsString="0" containsBlank="1"/>
    </cacheField>
    <cacheField name="编码" numFmtId="0">
      <sharedItems containsNonDate="0" containsString="0" containsBlank="1"/>
    </cacheField>
    <cacheField name="升级" numFmtId="0">
      <sharedItems containsNonDate="0" containsString="0" containsBlank="1"/>
    </cacheField>
    <cacheField name="功能设计" numFmtId="0">
      <sharedItems containsNonDate="0" containsString="0" containsBlank="1"/>
    </cacheField>
    <cacheField name="技术设计" numFmtId="0">
      <sharedItems containsNonDate="0" containsString="0" containsBlank="1"/>
    </cacheField>
    <cacheField name="编码及单元测试" numFmtId="0">
      <sharedItems containsNonDate="0" containsString="0" containsBlank="1"/>
    </cacheField>
    <cacheField name="顾问测试" numFmtId="0">
      <sharedItems containsNonDate="0" containsString="0" containsBlank="1"/>
    </cacheField>
    <cacheField name="安装" numFmtId="0">
      <sharedItems containsNonDate="0" containsString="0" containsBlank="1"/>
    </cacheField>
    <cacheField name="首次交付" numFmtId="0">
      <sharedItems containsNonDate="0" containsString="0" containsBlank="1"/>
    </cacheField>
    <cacheField name="上线人天" numFmtId="0">
      <sharedItems containsNonDate="0" containsString="0" containsBlank="1"/>
    </cacheField>
    <cacheField name="技术人天" numFmtId="0">
      <sharedItems containsNonDate="0" containsString="0" containsBlank="1"/>
    </cacheField>
    <cacheField name="功能人天" numFmtId="0">
      <sharedItems containsNonDate="0" containsString="0" containsBlank="1"/>
    </cacheField>
    <cacheField name="合计人天" numFmtId="0">
      <sharedItems containsNonDate="0" containsString="0" containsBlank="1"/>
    </cacheField>
    <cacheField name="是否SOW" numFmtId="0">
      <sharedItems containsNonDate="0" containsString="0" containsBlank="1"/>
    </cacheField>
    <cacheField name="SOW人天" numFmtId="0">
      <sharedItems containsNonDate="0" containsString="0" containsBlank="1"/>
    </cacheField>
    <cacheField name="是否变更" numFmtId="0">
      <sharedItems containsNonDate="0" containsString="0" containsBlank="1"/>
    </cacheField>
    <cacheField name="变更人天" numFmtId="0">
      <sharedItems containsNonDate="0" containsString="0" containsBlank="1"/>
    </cacheField>
    <cacheField name="设计者" numFmtId="0">
      <sharedItems containsNonDate="0" containsString="0" containsBlank="1" count="1">
        <m/>
      </sharedItems>
    </cacheField>
    <cacheField name="状态2" numFmtId="0">
      <sharedItems containsNonDate="0" containsString="0" containsBlank="1"/>
    </cacheField>
    <cacheField name="完成时间" numFmtId="0">
      <sharedItems containsNonDate="0" containsString="0" containsBlank="1"/>
    </cacheField>
    <cacheField name="测试者" numFmtId="0">
      <sharedItems containsNonDate="0" containsString="0" containsBlank="1" count="1">
        <m/>
      </sharedItems>
    </cacheField>
    <cacheField name="状态3" numFmtId="0">
      <sharedItems containsNonDate="0" containsString="0" containsBlank="1"/>
    </cacheField>
    <cacheField name="开始时间" numFmtId="0">
      <sharedItems containsNonDate="0" containsString="0" containsBlank="1"/>
    </cacheField>
    <cacheField name="完成时间2" numFmtId="0">
      <sharedItems containsNonDate="0" containsString="0" containsBlank="1"/>
    </cacheField>
    <cacheField name="用户" numFmtId="14">
      <sharedItems containsNonDate="0" containsString="0" containsBlank="1"/>
    </cacheField>
    <cacheField name="状态4" numFmtId="14">
      <sharedItems containsNonDate="0" containsString="0" containsBlank="1"/>
    </cacheField>
    <cacheField name="开始时间2" numFmtId="0">
      <sharedItems containsNonDate="0" containsString="0" containsBlank="1"/>
    </cacheField>
    <cacheField name="完成时间3" numFmtId="0">
      <sharedItems containsNonDate="0" containsString="0" containsBlank="1"/>
    </cacheField>
    <cacheField name="复查者" numFmtId="0">
      <sharedItems containsNonDate="0" containsString="0" containsBlank="1"/>
    </cacheField>
    <cacheField name="状态5" numFmtId="14">
      <sharedItems containsNonDate="0" containsString="0" containsBlank="1"/>
    </cacheField>
    <cacheField name="截止日期" numFmtId="14">
      <sharedItems containsNonDate="0" containsString="0" containsBlank="1"/>
    </cacheField>
    <cacheField name="任务个数" numFmtId="0" formula="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547.839606944442" createdVersion="4" refreshedVersion="4" minRefreshableVersion="3" recordCount="1" xr:uid="{00000000-000A-0000-FFFF-FFFF02000000}">
  <cacheSource type="worksheet">
    <worksheetSource name="XDATA"/>
  </cacheSource>
  <cacheFields count="48">
    <cacheField name="模块" numFmtId="0">
      <sharedItems containsNonDate="0" containsString="0" containsBlank="1"/>
    </cacheField>
    <cacheField name="功能名称" numFmtId="0">
      <sharedItems containsNonDate="0" containsString="0" containsBlank="1"/>
    </cacheField>
    <cacheField name="功能编号" numFmtId="0">
      <sharedItems containsNonDate="0" containsString="0" containsBlank="1"/>
    </cacheField>
    <cacheField name="编号" numFmtId="0">
      <sharedItems containsNonDate="0" containsString="0" containsBlank="1"/>
    </cacheField>
    <cacheField name="分类" numFmtId="0">
      <sharedItems containsNonDate="0" containsString="0" containsBlank="1"/>
    </cacheField>
    <cacheField name="任务" numFmtId="0">
      <sharedItems containsNonDate="0" containsString="0" containsBlank="1"/>
    </cacheField>
    <cacheField name="说明及参考" numFmtId="0">
      <sharedItems containsNonDate="0" containsString="0" containsBlank="1"/>
    </cacheField>
    <cacheField name="完成阶段" numFmtId="0">
      <sharedItems containsNonDate="0" containsBlank="1" count="5">
        <m/>
        <s v="UAT前" u="1"/>
        <s v="上线后" u="1"/>
        <s v="上线前" u="1"/>
        <s v="SIT前" u="1"/>
      </sharedItems>
    </cacheField>
    <cacheField name="开发模式" numFmtId="0">
      <sharedItems containsNonDate="0" containsString="0" containsBlank="1"/>
    </cacheField>
    <cacheField name="状态" numFmtId="0">
      <sharedItems containsNonDate="0" containsBlank="1" count="7">
        <m/>
        <s v="9-已经取消" u="1"/>
        <s v="3-等待测试" u="1"/>
        <s v="5-测试完成" u="1"/>
        <s v="2-正在开发" u="1"/>
        <s v="6-已移植UAT" u="1"/>
        <s v="7-已经上线" u="1"/>
      </sharedItems>
    </cacheField>
    <cacheField name="类型" numFmtId="0">
      <sharedItems containsNonDate="0" containsString="0" containsBlank="1"/>
    </cacheField>
    <cacheField name="开发方式" numFmtId="0">
      <sharedItems containsNonDate="0" containsString="0" containsBlank="1"/>
    </cacheField>
    <cacheField name="难度" numFmtId="0">
      <sharedItems containsNonDate="0" containsString="0" containsBlank="1"/>
    </cacheField>
    <cacheField name="设计" numFmtId="0">
      <sharedItems containsNonDate="0" containsString="0" containsBlank="1"/>
    </cacheField>
    <cacheField name="编码" numFmtId="0">
      <sharedItems containsNonDate="0" containsString="0" containsBlank="1"/>
    </cacheField>
    <cacheField name="升级" numFmtId="0">
      <sharedItems containsNonDate="0" containsString="0" containsBlank="1"/>
    </cacheField>
    <cacheField name="功能设计" numFmtId="0">
      <sharedItems containsNonDate="0" containsString="0" containsBlank="1"/>
    </cacheField>
    <cacheField name="技术设计" numFmtId="0">
      <sharedItems containsNonDate="0" containsString="0" containsBlank="1"/>
    </cacheField>
    <cacheField name="编码及单元测试" numFmtId="0">
      <sharedItems containsNonDate="0" containsString="0" containsBlank="1"/>
    </cacheField>
    <cacheField name="顾问测试" numFmtId="0">
      <sharedItems containsNonDate="0" containsString="0" containsBlank="1"/>
    </cacheField>
    <cacheField name="安装" numFmtId="0">
      <sharedItems containsNonDate="0" containsString="0" containsBlank="1"/>
    </cacheField>
    <cacheField name="首次交付" numFmtId="0">
      <sharedItems containsNonDate="0" containsString="0" containsBlank="1"/>
    </cacheField>
    <cacheField name="上线人天" numFmtId="0">
      <sharedItems containsNonDate="0" containsString="0" containsBlank="1"/>
    </cacheField>
    <cacheField name="技术人天" numFmtId="0">
      <sharedItems containsNonDate="0" containsString="0" containsBlank="1"/>
    </cacheField>
    <cacheField name="功能人天" numFmtId="0">
      <sharedItems containsNonDate="0" containsString="0" containsBlank="1"/>
    </cacheField>
    <cacheField name="合计人天" numFmtId="0">
      <sharedItems containsNonDate="0" containsString="0" containsBlank="1"/>
    </cacheField>
    <cacheField name="是否SOW" numFmtId="0">
      <sharedItems containsNonDate="0" containsString="0" containsBlank="1"/>
    </cacheField>
    <cacheField name="SOW人天" numFmtId="0">
      <sharedItems containsNonDate="0" containsString="0" containsBlank="1"/>
    </cacheField>
    <cacheField name="是否变更" numFmtId="0">
      <sharedItems containsNonDate="0" containsString="0" containsBlank="1"/>
    </cacheField>
    <cacheField name="变更人天" numFmtId="0">
      <sharedItems containsNonDate="0" containsString="0" containsBlank="1"/>
    </cacheField>
    <cacheField name="设计者" numFmtId="0">
      <sharedItems containsNonDate="0" containsString="0" containsBlank="1"/>
    </cacheField>
    <cacheField name="状态2" numFmtId="0">
      <sharedItems containsNonDate="0" containsString="0" containsBlank="1"/>
    </cacheField>
    <cacheField name="完成时间" numFmtId="0">
      <sharedItems containsNonDate="0" containsString="0" containsBlank="1"/>
    </cacheField>
    <cacheField name="测试者" numFmtId="0">
      <sharedItems containsNonDate="0" containsString="0" containsBlank="1"/>
    </cacheField>
    <cacheField name="状态3" numFmtId="0">
      <sharedItems containsNonDate="0" containsString="0" containsBlank="1"/>
    </cacheField>
    <cacheField name="开始时间" numFmtId="0">
      <sharedItems containsNonDate="0" containsString="0" containsBlank="1"/>
    </cacheField>
    <cacheField name="完成时间2" numFmtId="0">
      <sharedItems containsNonDate="0" containsString="0" containsBlank="1"/>
    </cacheField>
    <cacheField name="用户" numFmtId="14">
      <sharedItems containsNonDate="0" containsString="0" containsBlank="1"/>
    </cacheField>
    <cacheField name="状态4" numFmtId="14">
      <sharedItems containsNonDate="0" containsString="0" containsBlank="1"/>
    </cacheField>
    <cacheField name="开始时间2" numFmtId="0">
      <sharedItems containsNonDate="0" containsString="0" containsBlank="1"/>
    </cacheField>
    <cacheField name="完成时间3" numFmtId="0">
      <sharedItems containsNonDate="0" containsString="0" containsBlank="1"/>
    </cacheField>
    <cacheField name="复查者" numFmtId="0">
      <sharedItems containsNonDate="0" containsString="0" containsBlank="1"/>
    </cacheField>
    <cacheField name="状态5" numFmtId="14">
      <sharedItems containsNonDate="0" containsString="0" containsBlank="1"/>
    </cacheField>
    <cacheField name="截止日期" numFmtId="14">
      <sharedItems containsNonDate="0" containsString="0" containsBlank="1"/>
    </cacheField>
    <cacheField name="复查备注" numFmtId="14">
      <sharedItems containsNonDate="0" containsString="0" containsBlank="1"/>
    </cacheField>
    <cacheField name="公司" numFmtId="0">
      <sharedItems containsNonDate="0" containsString="0" containsBlank="1"/>
    </cacheField>
    <cacheField name="项目名称" numFmtId="0">
      <sharedItems containsNonDate="0" containsString="0" containsBlank="1"/>
    </cacheField>
    <cacheField name="备注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m/>
    <m/>
    <m/>
    <m/>
    <m/>
    <m/>
    <x v="0"/>
    <m/>
    <m/>
    <m/>
    <x v="0"/>
    <m/>
    <m/>
    <m/>
    <m/>
    <m/>
    <m/>
    <m/>
    <m/>
    <m/>
    <m/>
    <m/>
    <m/>
    <m/>
    <m/>
    <m/>
    <m/>
    <m/>
    <m/>
    <m/>
    <m/>
    <m/>
    <m/>
    <x v="0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">
  <r>
    <x v="0"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x v="0"/>
    <m/>
    <m/>
    <x v="0"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">
  <r>
    <m/>
    <m/>
    <m/>
    <m/>
    <m/>
    <m/>
    <m/>
    <x v="0"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数据透视表1" cacheId="1" applyNumberFormats="0" applyBorderFormats="0" applyFontFormats="0" applyPatternFormats="0" applyAlignmentFormats="0" applyWidthHeightFormats="1" dataCaption="数据" missingCaption=" " updatedVersion="4" minRefreshableVersion="3" showDrill="0" useAutoFormatting="1" colGrandTotals="0" createdVersion="3" indent="0" compact="0" compactData="0" gridDropZones="1">
  <location ref="B22:J25" firstHeaderRow="1" firstDataRow="2" firstDataCol="1" rowPageCount="1" colPageCount="1"/>
  <pivotFields count="45">
    <pivotField axis="axisRow" compact="0" outline="0" subtotalTop="0" showAll="0" includeNewItemsInFilter="1">
      <items count="2">
        <item x="0"/>
        <item t="default"/>
      </items>
    </pivotField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howAll="0" defaultSubtotal="0"/>
    <pivotField dataField="1" compact="0" outline="0" subtotalTop="0" showAll="0" includeNewItemsInFilter="1"/>
    <pivotField compact="0" outline="0" subtotalTop="0" showAll="0" includeNewItemsInFilter="1" defaultSubtotal="0"/>
    <pivotField axis="axisPage" compact="0" outline="0" subtotalTop="0" showAll="0" includeNewItemsInFilter="1" sortType="ascending" defaultSubtotal="0">
      <items count="1">
        <item x="0"/>
      </items>
    </pivotField>
    <pivotField compact="0" outline="0" showAll="0" defaultSubtotal="0"/>
    <pivotField compact="0" outline="0" subtotalTop="0" showAll="0" includeNewItemsInFilter="1" sortType="ascending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dataField="1" compact="0" numFmtId="179" outline="0" subtotalTop="0" showAll="0" includeNewItemsInFilter="1" defaultSubtotal="0"/>
    <pivotField dataField="1" compact="0" numFmtId="179" outline="0" subtotalTop="0" showAll="0" includeNewItemsInFilter="1" defaultSubtotal="0"/>
    <pivotField dataField="1" compact="0" numFmtId="179" outline="0" subtotalTop="0" showAll="0" includeNewItemsInFilter="1" defaultSubtotal="0"/>
    <pivotField dataField="1" compact="0" numFmtId="179" outline="0" subtotalTop="0" showAll="0" includeNewItemsInFilter="1" defaultSubtotal="0"/>
    <pivotField dataField="1" compact="0" numFmtId="179" outline="0" subtotalTop="0" showAll="0" includeNewItemsInFilter="1" defaultSubtotal="0"/>
    <pivotField compact="0" outline="0" subtotalTop="0" showAll="0" includeNewItemsInFilter="1" defaultSubtotal="0"/>
    <pivotField dataField="1" compact="0" numFmtId="179" outline="0" subtotalTop="0" showAll="0" includeNewItemsInFilter="1" defaultSubtotal="0"/>
    <pivotField compact="0" outline="0" subtotalTop="0" showAll="0" includeNewItemsInFilter="1" defaultSubtotal="0"/>
    <pivotField dataField="1" compact="0" numFmtId="179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dragToRow="0" dragToCol="0" dragToPage="0" showAll="0" includeNewItemsInFilter="1" defaultSubtotal="0"/>
  </pivotFields>
  <rowFields count="1">
    <field x="0"/>
  </rowFields>
  <rowItems count="2">
    <i>
      <x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7" hier="0"/>
  </pageFields>
  <dataFields count="8">
    <dataField name="个数" fld="5" subtotal="count" baseField="0" baseItem="0"/>
    <dataField name="首交" fld="21" baseField="0" baseItem="0"/>
    <dataField name="上线" fld="22" baseField="0" baseItem="0"/>
    <dataField name="技术" fld="23" baseField="0" baseItem="0"/>
    <dataField name="功能" fld="24" baseField="0" baseItem="0"/>
    <dataField name="合计" fld="25" baseField="0" baseItem="0"/>
    <dataField name="SOW" fld="27" baseField="0" baseItem="0"/>
    <dataField name="变更" fld="29" baseField="0" baseItem="0"/>
  </dataFields>
  <formats count="12">
    <format dxfId="161">
      <pivotArea grandRow="1" outline="0" fieldPosition="0"/>
    </format>
    <format dxfId="160">
      <pivotArea dataOnly="0" labelOnly="1" grandRow="1" outline="0" fieldPosition="0"/>
    </format>
    <format dxfId="159">
      <pivotArea grandRow="1" outline="0" fieldPosition="0"/>
    </format>
    <format dxfId="158">
      <pivotArea dataOnly="0" labelOnly="1" grandRow="1" outline="0" fieldPosition="0"/>
    </format>
    <format dxfId="157">
      <pivotArea type="all" dataOnly="0" outline="0" fieldPosition="0"/>
    </format>
    <format dxfId="156">
      <pivotArea dataOnly="0" labelOnly="1" outline="0" fieldPosition="0">
        <references count="1">
          <reference field="4294967294" count="0"/>
        </references>
      </pivotArea>
    </format>
    <format dxfId="155">
      <pivotArea grandRow="1" outline="0" fieldPosition="0"/>
    </format>
    <format dxfId="154">
      <pivotArea dataOnly="0" labelOnly="1" grandRow="1" outline="0" fieldPosition="0"/>
    </format>
    <format dxfId="153">
      <pivotArea dataOnly="0" labelOnly="1" grandRow="1" outline="0" offset="A256" fieldPosition="0"/>
    </format>
    <format dxfId="152">
      <pivotArea dataOnly="0" labelOnly="1" outline="0" fieldPosition="0">
        <references count="1">
          <reference field="4294967294" count="0"/>
        </references>
      </pivotArea>
    </format>
    <format dxfId="151">
      <pivotArea outline="0" fieldPosition="0"/>
    </format>
    <format dxfId="150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数据透视表4" cacheId="1" applyNumberFormats="0" applyBorderFormats="0" applyFontFormats="0" applyPatternFormats="0" applyAlignmentFormats="0" applyWidthHeightFormats="1" dataCaption="数据" missingCaption=" " updatedVersion="4" minRefreshableVersion="3" showDrill="0" useAutoFormatting="1" colGrandTotals="0" createdVersion="3" indent="0" compact="0" compactData="0" gridDropZones="1">
  <location ref="W4:Y7" firstHeaderRow="2" firstDataRow="2" firstDataCol="2" rowPageCount="1" colPageCount="1"/>
  <pivotFields count="45"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howAll="0" defaultSubtotal="0"/>
    <pivotField dataField="1" compact="0" outline="0" subtotalTop="0" showAll="0" includeNewItemsInFilter="1"/>
    <pivotField compact="0" outline="0" subtotalTop="0" showAll="0" includeNewItemsInFilter="1" defaultSubtotal="0"/>
    <pivotField axis="axisPage" compact="0" outline="0" subtotalTop="0" showAll="0" includeNewItemsInFilter="1" sortType="ascending" defaultSubtotal="0">
      <items count="1">
        <item x="0"/>
      </items>
    </pivotField>
    <pivotField compact="0" outline="0" showAll="0" defaultSubtotal="0"/>
    <pivotField axis="axisRow" compact="0" outline="0" subtotalTop="0" showAll="0" includeNewItemsInFilter="1" sortType="ascending" defaultSubtotal="0">
      <items count="1">
        <item x="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outline="0" subtotalTop="0" showAll="0" includeNewItemsInFilter="1" defaultSubtotal="0"/>
    <pivotField compact="0" numFmtId="179" outline="0" subtotalTop="0" showAll="0" includeNewItemsInFilter="1" defaultSubtotal="0"/>
    <pivotField compact="0" outline="0" subtotalTop="0" showAll="0" includeNewItemsInFilter="1" defaultSubtotal="0"/>
    <pivotField compact="0" numFmtId="179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dragToRow="0" dragToCol="0" dragToPage="0" showAll="0" includeNewItemsInFilter="1" defaultSubtotal="0"/>
  </pivotFields>
  <rowFields count="2">
    <field x="9"/>
    <field x="33"/>
  </rowFields>
  <rowItems count="2">
    <i>
      <x/>
      <x/>
    </i>
    <i t="grand">
      <x/>
    </i>
  </rowItems>
  <colItems count="1">
    <i/>
  </colItems>
  <pageFields count="1">
    <pageField fld="7" hier="0"/>
  </pageFields>
  <dataFields count="1">
    <dataField name="个数" fld="5" subtotal="count" baseField="0" baseItem="0"/>
  </dataFields>
  <formats count="12">
    <format dxfId="173">
      <pivotArea grandRow="1" outline="0" fieldPosition="0"/>
    </format>
    <format dxfId="172">
      <pivotArea dataOnly="0" labelOnly="1" grandRow="1" outline="0" fieldPosition="0"/>
    </format>
    <format dxfId="171">
      <pivotArea grandRow="1" outline="0" fieldPosition="0"/>
    </format>
    <format dxfId="170">
      <pivotArea dataOnly="0" labelOnly="1" grandRow="1" outline="0" fieldPosition="0"/>
    </format>
    <format dxfId="169">
      <pivotArea type="all" dataOnly="0" outline="0" fieldPosition="0"/>
    </format>
    <format dxfId="168">
      <pivotArea dataOnly="0" labelOnly="1" outline="0" fieldPosition="0">
        <references count="1">
          <reference field="4294967294" count="0"/>
        </references>
      </pivotArea>
    </format>
    <format dxfId="167">
      <pivotArea grandRow="1" outline="0" fieldPosition="0"/>
    </format>
    <format dxfId="166">
      <pivotArea dataOnly="0" labelOnly="1" grandRow="1" outline="0" fieldPosition="0"/>
    </format>
    <format dxfId="165">
      <pivotArea dataOnly="0" labelOnly="1" grandRow="1" outline="0" offset="A256" fieldPosition="0"/>
    </format>
    <format dxfId="164">
      <pivotArea dataOnly="0" labelOnly="1" outline="0" fieldPosition="0">
        <references count="1">
          <reference field="4294967294" count="0"/>
        </references>
      </pivotArea>
    </format>
    <format dxfId="163">
      <pivotArea outline="0" fieldPosition="0"/>
    </format>
    <format dxfId="162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4000000}" name="数据透视表6" cacheId="0" applyNumberFormats="0" applyBorderFormats="0" applyFontFormats="0" applyPatternFormats="0" applyAlignmentFormats="0" applyWidthHeightFormats="1" dataCaption="数据" missingCaption=" " updatedVersion="8" minRefreshableVersion="3" showDrill="0" useAutoFormatting="1" colGrandTotals="0" createdVersion="3" indent="0" compact="0" compactData="0" gridDropZones="1">
  <location ref="AA4:AC6" firstHeaderRow="2" firstDataRow="2" firstDataCol="2" rowPageCount="1" colPageCount="1"/>
  <pivotFields count="56">
    <pivotField compact="0" outline="0" subtotalTop="0" showAll="0" includeNewItemsInFilter="1"/>
    <pivotField compact="0" outline="0" showAll="0"/>
    <pivotField compact="0" outline="0" showAll="0" defaultSubtotal="0"/>
    <pivotField compact="0" outline="0" subtotalTop="0" showAll="0" includeNewItemsInFilter="1" defaultSubtotal="0"/>
    <pivotField compact="0" outline="0" showAll="0"/>
    <pivotField dataField="1" compact="0" outline="0" subtotalTop="0" showAll="0" includeNewItemsInFilter="1"/>
    <pivotField compact="0" outline="0" subtotalTop="0" showAll="0" includeNewItemsInFilter="1" defaultSubtotal="0"/>
    <pivotField axis="axisPage" compact="0" outline="0" subtotalTop="0" showAll="0" includeNewItemsInFilter="1" sortType="ascending" defaultSubtotal="0">
      <items count="5">
        <item m="1" x="2"/>
        <item m="1" x="1"/>
        <item m="1" x="4"/>
        <item m="1" x="3"/>
        <item x="0"/>
      </items>
    </pivotField>
    <pivotField compact="0" outline="0" showAll="0" defaultSubtotal="0"/>
    <pivotField compact="0" outline="0" subtotalTop="0" showAll="0" includeNewItemsInFilter="1" sortType="ascending" defaultSubtotal="0"/>
    <pivotField compact="0" outline="0" subtotalTop="0" showAll="0" includeNewItemsInFilter="1"/>
    <pivotField axis="axisRow" compact="0" outline="0" subtotalTop="0" showAll="0" includeNewItemsInFilter="1" defaultSubtotal="0">
      <items count="14">
        <item m="1" x="11"/>
        <item m="1" x="9"/>
        <item m="1" x="3"/>
        <item m="1" x="2"/>
        <item m="1" x="13"/>
        <item m="1" x="4"/>
        <item m="1" x="1"/>
        <item m="1" x="6"/>
        <item m="1" x="7"/>
        <item m="1" x="8"/>
        <item m="1" x="12"/>
        <item m="1" x="5"/>
        <item h="1" x="0"/>
        <item m="1" x="1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outline="0" subtotalTop="0" showAll="0" includeNewItemsInFilter="1" defaultSubtotal="0"/>
    <pivotField compact="0" numFmtId="179" outline="0" subtotalTop="0" showAll="0" includeNewItemsInFilter="1" defaultSubtotal="0"/>
    <pivotField compact="0" outline="0" subtotalTop="0" showAll="0" includeNewItemsInFilter="1" defaultSubtotal="0"/>
    <pivotField compact="0" numFmtId="179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howAll="0"/>
    <pivotField compact="0" outline="0" showAll="0"/>
    <pivotField axis="axisRow" compact="0" outline="0" showAll="0" defaultSubtotal="0">
      <items count="3">
        <item m="1" x="1"/>
        <item x="0"/>
        <item m="1" x="2"/>
      </items>
    </pivotField>
    <pivotField compact="0" outline="0" subtotalTop="0" showAll="0" includeNewItemsInFilter="1" defaultSubtotal="0"/>
    <pivotField compact="0" outline="0" showAll="0"/>
    <pivotField compact="0" outline="0" showAll="0"/>
    <pivotField compact="0" outline="0" subtotalTop="0" showAll="0" includeNewItemsInFilter="1"/>
    <pivotField compact="0" outline="0" subtotalTop="0" showAll="0" includeNewItemsInFilter="1" defaultSubtotal="0"/>
    <pivotField compact="0" outline="0" showAll="0"/>
    <pivotField compact="0" outline="0" showAl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ubtotalTop="0" showAll="0" includeNewItemsInFilter="1" defaultSubtotal="0"/>
    <pivotField compact="0" outline="0" showAl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ubtotalTop="0" dragToRow="0" dragToCol="0" dragToPage="0" showAll="0" includeNewItemsInFilter="1" defaultSubtotal="0"/>
  </pivotFields>
  <rowFields count="2">
    <field x="34"/>
    <field x="11"/>
  </rowFields>
  <rowItems count="1">
    <i t="grand">
      <x/>
    </i>
  </rowItems>
  <colItems count="1">
    <i/>
  </colItems>
  <pageFields count="1">
    <pageField fld="7" hier="0"/>
  </pageFields>
  <dataFields count="1">
    <dataField name="个数" fld="5" subtotal="count" baseField="0" baseItem="0"/>
  </dataFields>
  <formats count="12">
    <format dxfId="185">
      <pivotArea grandRow="1" outline="0" fieldPosition="0"/>
    </format>
    <format dxfId="184">
      <pivotArea dataOnly="0" labelOnly="1" grandRow="1" outline="0" fieldPosition="0"/>
    </format>
    <format dxfId="183">
      <pivotArea grandRow="1" outline="0" fieldPosition="0"/>
    </format>
    <format dxfId="182">
      <pivotArea dataOnly="0" labelOnly="1" grandRow="1" outline="0" fieldPosition="0"/>
    </format>
    <format dxfId="181">
      <pivotArea type="all" dataOnly="0" outline="0" fieldPosition="0"/>
    </format>
    <format dxfId="180">
      <pivotArea dataOnly="0" labelOnly="1" outline="0" fieldPosition="0">
        <references count="1">
          <reference field="4294967294" count="0"/>
        </references>
      </pivotArea>
    </format>
    <format dxfId="179">
      <pivotArea grandRow="1" outline="0" fieldPosition="0"/>
    </format>
    <format dxfId="178">
      <pivotArea dataOnly="0" labelOnly="1" grandRow="1" outline="0" fieldPosition="0"/>
    </format>
    <format dxfId="177">
      <pivotArea dataOnly="0" labelOnly="1" grandRow="1" outline="0" offset="A256" fieldPosition="0"/>
    </format>
    <format dxfId="176">
      <pivotArea dataOnly="0" labelOnly="1" outline="0" fieldPosition="0">
        <references count="1">
          <reference field="4294967294" count="0"/>
        </references>
      </pivotArea>
    </format>
    <format dxfId="175">
      <pivotArea outline="0" fieldPosition="0"/>
    </format>
    <format dxfId="174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6000000}" name="数据透视表9" cacheId="0" applyNumberFormats="0" applyBorderFormats="0" applyFontFormats="0" applyPatternFormats="0" applyAlignmentFormats="0" applyWidthHeightFormats="1" dataCaption="数据" missingCaption=" " updatedVersion="8" minRefreshableVersion="3" showDrill="0" useAutoFormatting="1" colGrandTotals="0" createdVersion="3" indent="0" compact="0" compactData="0" gridDropZones="1">
  <location ref="AE4:AG6" firstHeaderRow="2" firstDataRow="2" firstDataCol="2" rowPageCount="1" colPageCount="1"/>
  <pivotFields count="56">
    <pivotField axis="axisRow" compact="0" outline="0" subtotalTop="0" showAll="0" includeNewItemsInFilter="1">
      <items count="13">
        <item m="1" x="10"/>
        <item m="1" x="3"/>
        <item m="1" x="7"/>
        <item m="1" x="9"/>
        <item m="1" x="11"/>
        <item m="1" x="4"/>
        <item m="1" x="8"/>
        <item m="1" x="2"/>
        <item m="1" x="5"/>
        <item m="1" x="6"/>
        <item m="1" x="1"/>
        <item h="1" x="0"/>
        <item t="default"/>
      </items>
    </pivotField>
    <pivotField compact="0" outline="0" showAll="0"/>
    <pivotField compact="0" outline="0" showAll="0" defaultSubtotal="0"/>
    <pivotField compact="0" outline="0" subtotalTop="0" showAll="0" includeNewItemsInFilter="1" defaultSubtotal="0"/>
    <pivotField compact="0" outline="0" showAll="0"/>
    <pivotField dataField="1" compact="0" outline="0" subtotalTop="0" showAll="0" includeNewItemsInFilter="1"/>
    <pivotField compact="0" outline="0" subtotalTop="0" showAll="0" includeNewItemsInFilter="1" defaultSubtotal="0"/>
    <pivotField axis="axisPage" compact="0" outline="0" subtotalTop="0" showAll="0" includeNewItemsInFilter="1" sortType="ascending" defaultSubtotal="0">
      <items count="5">
        <item m="1" x="2"/>
        <item m="1" x="1"/>
        <item m="1" x="4"/>
        <item m="1" x="3"/>
        <item x="0"/>
      </items>
    </pivotField>
    <pivotField compact="0" outline="0" showAll="0" defaultSubtotal="0"/>
    <pivotField compact="0" outline="0" subtotalTop="0" showAll="0" includeNewItemsInFilter="1" sortType="ascending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outline="0" subtotalTop="0" showAll="0" includeNewItemsInFilter="1" defaultSubtotal="0"/>
    <pivotField compact="0" numFmtId="179" outline="0" subtotalTop="0" showAll="0" includeNewItemsInFilter="1" defaultSubtotal="0"/>
    <pivotField compact="0" outline="0" subtotalTop="0" showAll="0" includeNewItemsInFilter="1" defaultSubtotal="0"/>
    <pivotField compact="0" numFmtId="179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howAll="0"/>
    <pivotField compact="0" outline="0" showAll="0"/>
    <pivotField axis="axisRow" compact="0" outline="0" showAll="0" defaultSubtotal="0">
      <items count="3">
        <item m="1" x="1"/>
        <item x="0"/>
        <item m="1" x="2"/>
      </items>
    </pivotField>
    <pivotField compact="0" outline="0" subtotalTop="0" showAll="0" includeNewItemsInFilter="1" defaultSubtotal="0"/>
    <pivotField compact="0" outline="0" showAll="0"/>
    <pivotField compact="0" outline="0" showAll="0"/>
    <pivotField compact="0" outline="0" subtotalTop="0" showAll="0" includeNewItemsInFilter="1"/>
    <pivotField compact="0" outline="0" subtotalTop="0" showAll="0" includeNewItemsInFilter="1" defaultSubtotal="0"/>
    <pivotField compact="0" outline="0" showAll="0"/>
    <pivotField compact="0" outline="0" showAl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/>
    <pivotField compact="0" outline="0" showAll="0"/>
    <pivotField compact="0" outline="0" subtotalTop="0" showAll="0" includeNewItemsInFilter="1" defaultSubtotal="0"/>
    <pivotField compact="0" outline="0" showAl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/>
    <pivotField compact="0" outline="0" subtotalTop="0" dragToRow="0" dragToCol="0" dragToPage="0" showAll="0" includeNewItemsInFilter="1" defaultSubtotal="0"/>
  </pivotFields>
  <rowFields count="2">
    <field x="34"/>
    <field x="0"/>
  </rowFields>
  <rowItems count="1">
    <i t="grand">
      <x/>
    </i>
  </rowItems>
  <colItems count="1">
    <i/>
  </colItems>
  <pageFields count="1">
    <pageField fld="7" hier="0"/>
  </pageFields>
  <dataFields count="1">
    <dataField name="个数" fld="5" subtotal="count" baseField="0" baseItem="0"/>
  </dataFields>
  <formats count="12">
    <format dxfId="197">
      <pivotArea grandRow="1" outline="0" collapsedLevelsAreSubtotals="1" fieldPosition="0"/>
    </format>
    <format dxfId="196">
      <pivotArea dataOnly="0" labelOnly="1" grandRow="1" outline="0" fieldPosition="0"/>
    </format>
    <format dxfId="195">
      <pivotArea grandRow="1" outline="0" collapsedLevelsAreSubtotals="1" fieldPosition="0"/>
    </format>
    <format dxfId="194">
      <pivotArea dataOnly="0" labelOnly="1" grandRow="1" outline="0" fieldPosition="0"/>
    </format>
    <format dxfId="193">
      <pivotArea type="all" dataOnly="0" outline="0" fieldPosition="0"/>
    </format>
    <format dxfId="192">
      <pivotArea dataOnly="0" labelOnly="1" outline="0" fieldPosition="0">
        <references count="1">
          <reference field="4294967294" count="0"/>
        </references>
      </pivotArea>
    </format>
    <format dxfId="191">
      <pivotArea grandRow="1" outline="0" collapsedLevelsAreSubtotals="1" fieldPosition="0"/>
    </format>
    <format dxfId="190">
      <pivotArea dataOnly="0" labelOnly="1" grandRow="1" outline="0" fieldPosition="0"/>
    </format>
    <format dxfId="189">
      <pivotArea dataOnly="0" labelOnly="1" grandRow="1" outline="0" offset="A256" fieldPosition="0"/>
    </format>
    <format dxfId="188">
      <pivotArea dataOnly="0" labelOnly="1" outline="0" fieldPosition="0">
        <references count="1">
          <reference field="4294967294" count="0"/>
        </references>
      </pivotArea>
    </format>
    <format dxfId="187">
      <pivotArea outline="0" collapsedLevelsAreSubtotals="1" fieldPosition="0"/>
    </format>
    <format dxfId="186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5000000}" name="数据透视表8" cacheId="1" applyNumberFormats="0" applyBorderFormats="0" applyFontFormats="0" applyPatternFormats="0" applyAlignmentFormats="0" applyWidthHeightFormats="1" dataCaption="数据" missingCaption=" " updatedVersion="4" minRefreshableVersion="3" showDrill="0" useAutoFormatting="1" colGrandTotals="0" createdVersion="3" indent="0" compact="0" compactData="0" gridDropZones="1">
  <location ref="B4:J7" firstHeaderRow="1" firstDataRow="2" firstDataCol="1" rowPageCount="1" colPageCount="1"/>
  <pivotFields count="45"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howAll="0" defaultSubtotal="0"/>
    <pivotField dataField="1" compact="0" outline="0" subtotalTop="0" showAll="0" includeNewItemsInFilter="1"/>
    <pivotField compact="0" outline="0" subtotalTop="0" showAll="0" includeNewItemsInFilter="1" defaultSubtotal="0"/>
    <pivotField axis="axisPage" compact="0" outline="0" subtotalTop="0" showAll="0" includeNewItemsInFilter="1" sortType="ascending" defaultSubtotal="0">
      <items count="1">
        <item x="0"/>
      </items>
    </pivotField>
    <pivotField compact="0" outline="0" showAll="0" defaultSubtotal="0"/>
    <pivotField axis="axisRow" compact="0" outline="0" subtotalTop="0" showAll="0" includeNewItemsInFilter="1" sortType="ascending" defaultSubtotal="0">
      <items count="1">
        <item x="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dataField="1" compact="0" numFmtId="179" outline="0" subtotalTop="0" showAll="0" includeNewItemsInFilter="1" defaultSubtotal="0"/>
    <pivotField dataField="1" compact="0" numFmtId="179" outline="0" subtotalTop="0" showAll="0" includeNewItemsInFilter="1" defaultSubtotal="0"/>
    <pivotField dataField="1" compact="0" numFmtId="179" outline="0" subtotalTop="0" showAll="0" includeNewItemsInFilter="1" defaultSubtotal="0"/>
    <pivotField dataField="1" compact="0" numFmtId="179" outline="0" subtotalTop="0" showAll="0" includeNewItemsInFilter="1" defaultSubtotal="0"/>
    <pivotField dataField="1" compact="0" numFmtId="179" outline="0" subtotalTop="0" showAll="0" includeNewItemsInFilter="1" defaultSubtotal="0"/>
    <pivotField compact="0" outline="0" subtotalTop="0" showAll="0" includeNewItemsInFilter="1" defaultSubtotal="0"/>
    <pivotField dataField="1" compact="0" numFmtId="179" outline="0" subtotalTop="0" showAll="0" includeNewItemsInFilter="1" defaultSubtotal="0"/>
    <pivotField compact="0" outline="0" subtotalTop="0" showAll="0" includeNewItemsInFilter="1" defaultSubtotal="0"/>
    <pivotField dataField="1" compact="0" numFmtId="179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dragToRow="0" dragToCol="0" dragToPage="0" showAll="0" includeNewItemsInFilter="1" defaultSubtotal="0"/>
  </pivotFields>
  <rowFields count="1">
    <field x="9"/>
  </rowFields>
  <rowItems count="2">
    <i>
      <x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7" hier="0"/>
  </pageFields>
  <dataFields count="8">
    <dataField name="个数" fld="5" subtotal="count" baseField="0" baseItem="0"/>
    <dataField name="首交" fld="21" baseField="0" baseItem="0"/>
    <dataField name="上线" fld="22" baseField="0" baseItem="0"/>
    <dataField name="技术" fld="23" baseField="0" baseItem="0"/>
    <dataField name="功能" fld="24" baseField="0" baseItem="0"/>
    <dataField name="合计" fld="25" baseField="0" baseItem="0"/>
    <dataField name="SOW" fld="27" baseField="0" baseItem="0"/>
    <dataField name="变更" fld="29" baseField="0" baseItem="0"/>
  </dataFields>
  <formats count="12">
    <format dxfId="209">
      <pivotArea grandRow="1" outline="0" fieldPosition="0"/>
    </format>
    <format dxfId="208">
      <pivotArea dataOnly="0" labelOnly="1" grandRow="1" outline="0" fieldPosition="0"/>
    </format>
    <format dxfId="207">
      <pivotArea grandRow="1" outline="0" fieldPosition="0"/>
    </format>
    <format dxfId="206">
      <pivotArea dataOnly="0" labelOnly="1" grandRow="1" outline="0" fieldPosition="0"/>
    </format>
    <format dxfId="205">
      <pivotArea type="all" dataOnly="0" outline="0" fieldPosition="0"/>
    </format>
    <format dxfId="204">
      <pivotArea dataOnly="0" labelOnly="1" outline="0" fieldPosition="0">
        <references count="1">
          <reference field="4294967294" count="0"/>
        </references>
      </pivotArea>
    </format>
    <format dxfId="203">
      <pivotArea grandRow="1" outline="0" fieldPosition="0"/>
    </format>
    <format dxfId="202">
      <pivotArea dataOnly="0" labelOnly="1" grandRow="1" outline="0" fieldPosition="0"/>
    </format>
    <format dxfId="201">
      <pivotArea dataOnly="0" labelOnly="1" grandRow="1" outline="0" offset="A256" fieldPosition="0"/>
    </format>
    <format dxfId="200">
      <pivotArea dataOnly="0" labelOnly="1" outline="0" fieldPosition="0">
        <references count="1">
          <reference field="4294967294" count="0"/>
        </references>
      </pivotArea>
    </format>
    <format dxfId="199">
      <pivotArea outline="0" fieldPosition="0"/>
    </format>
    <format dxfId="198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3000000}" name="数据透视表5" cacheId="1" applyNumberFormats="0" applyBorderFormats="0" applyFontFormats="0" applyPatternFormats="0" applyAlignmentFormats="0" applyWidthHeightFormats="1" dataCaption="数据" missingCaption=" " updatedVersion="4" minRefreshableVersion="3" showDrill="0" useAutoFormatting="1" colGrandTotals="0" createdVersion="3" indent="0" compact="0" compactData="0" gridDropZones="1">
  <location ref="M4:O7" firstHeaderRow="2" firstDataRow="2" firstDataCol="2" rowPageCount="1" colPageCount="1"/>
  <pivotFields count="45"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howAll="0" defaultSubtotal="0"/>
    <pivotField dataField="1" compact="0" outline="0" subtotalTop="0" showAll="0" includeNewItemsInFilter="1"/>
    <pivotField compact="0" outline="0" subtotalTop="0" showAll="0" includeNewItemsInFilter="1" defaultSubtotal="0"/>
    <pivotField axis="axisPage" compact="0" outline="0" subtotalTop="0" showAll="0" includeNewItemsInFilter="1" sortType="ascending" defaultSubtotal="0">
      <items count="1">
        <item x="0"/>
      </items>
    </pivotField>
    <pivotField compact="0" outline="0" showAll="0" defaultSubtotal="0"/>
    <pivotField axis="axisRow" compact="0" outline="0" subtotalTop="0" showAll="0" includeNewItemsInFilter="1" sortType="ascending" defaultSubtotal="0">
      <items count="1">
        <item x="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outline="0" subtotalTop="0" showAll="0" includeNewItemsInFilter="1" defaultSubtotal="0"/>
    <pivotField compact="0" numFmtId="179" outline="0" subtotalTop="0" showAll="0" includeNewItemsInFilter="1" defaultSubtotal="0"/>
    <pivotField compact="0" outline="0" subtotalTop="0" showAll="0" includeNewItemsInFilter="1" defaultSubtotal="0"/>
    <pivotField compact="0" numFmtId="179" outline="0" subtotalTop="0" showAll="0" includeNewItemsInFilter="1" defaultSubtotal="0"/>
    <pivotField axis="axisRow" compact="0" outline="0" subtotalTop="0" showAll="0" includeNewItemsInFilter="1">
      <items count="2">
        <item x="0"/>
        <item t="default"/>
      </items>
    </pivotField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dragToRow="0" dragToCol="0" dragToPage="0" showAll="0" includeNewItemsInFilter="1" defaultSubtotal="0"/>
  </pivotFields>
  <rowFields count="2">
    <field x="9"/>
    <field x="30"/>
  </rowFields>
  <rowItems count="2">
    <i>
      <x/>
      <x/>
    </i>
    <i t="grand">
      <x/>
    </i>
  </rowItems>
  <colItems count="1">
    <i/>
  </colItems>
  <pageFields count="1">
    <pageField fld="7" hier="0"/>
  </pageFields>
  <dataFields count="1">
    <dataField name="个数" fld="5" subtotal="count" baseField="0" baseItem="0"/>
  </dataFields>
  <formats count="14">
    <format dxfId="223">
      <pivotArea grandRow="1" outline="0" fieldPosition="0"/>
    </format>
    <format dxfId="222">
      <pivotArea dataOnly="0" labelOnly="1" grandRow="1" outline="0" fieldPosition="0"/>
    </format>
    <format dxfId="221">
      <pivotArea grandRow="1" outline="0" fieldPosition="0"/>
    </format>
    <format dxfId="220">
      <pivotArea dataOnly="0" labelOnly="1" grandRow="1" outline="0" fieldPosition="0"/>
    </format>
    <format dxfId="219">
      <pivotArea type="all" dataOnly="0" outline="0" fieldPosition="0"/>
    </format>
    <format dxfId="218">
      <pivotArea dataOnly="0" labelOnly="1" outline="0" fieldPosition="0">
        <references count="1">
          <reference field="4294967294" count="0"/>
        </references>
      </pivotArea>
    </format>
    <format dxfId="217">
      <pivotArea grandRow="1" outline="0" fieldPosition="0"/>
    </format>
    <format dxfId="216">
      <pivotArea dataOnly="0" labelOnly="1" grandRow="1" outline="0" fieldPosition="0"/>
    </format>
    <format dxfId="215">
      <pivotArea dataOnly="0" labelOnly="1" grandRow="1" outline="0" offset="A256" fieldPosition="0"/>
    </format>
    <format dxfId="214">
      <pivotArea dataOnly="0" labelOnly="1" outline="0" fieldPosition="0">
        <references count="1">
          <reference field="4294967294" count="0"/>
        </references>
      </pivotArea>
    </format>
    <format dxfId="213">
      <pivotArea outline="0" fieldPosition="0"/>
    </format>
    <format dxfId="2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1">
      <pivotArea grandRow="1" outline="0" fieldPosition="0"/>
    </format>
    <format dxfId="210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数据透视表2" cacheId="1" applyNumberFormats="0" applyBorderFormats="0" applyFontFormats="0" applyPatternFormats="0" applyAlignmentFormats="0" applyWidthHeightFormats="1" dataCaption="数据" missingCaption=" " updatedVersion="4" minRefreshableVersion="3" showDrill="0" useAutoFormatting="1" colGrandTotals="0" createdVersion="3" indent="0" compact="0" compactData="0" gridDropZones="1">
  <location ref="Q4:T7" firstHeaderRow="1" firstDataRow="2" firstDataCol="1" rowPageCount="1" colPageCount="1"/>
  <pivotFields count="45"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howAll="0" defaultSubtotal="0"/>
    <pivotField dataField="1" compact="0" outline="0" subtotalTop="0" showAll="0" includeNewItemsInFilter="1"/>
    <pivotField compact="0" outline="0" subtotalTop="0" showAll="0" includeNewItemsInFilter="1" defaultSubtotal="0"/>
    <pivotField axis="axisPage" compact="0" outline="0" subtotalTop="0" showAll="0" includeNewItemsInFilter="1" sortType="ascending" defaultSubtotal="0">
      <items count="1">
        <item x="0"/>
      </items>
    </pivotField>
    <pivotField compact="0" outline="0" showAll="0" defaultSubtotal="0"/>
    <pivotField axis="axisRow" compact="0" outline="0" subtotalTop="0" showAll="0" includeNewItemsInFilter="1" sortType="ascending" defaultSubtotal="0">
      <items count="1">
        <item x="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dataField="1" compact="0" numFmtId="179" outline="0" subtotalTop="0" showAll="0" includeNewItemsInFilter="1" defaultSubtotal="0"/>
    <pivotField compact="0" numFmtId="179" outline="0" subtotalTop="0" showAll="0" includeNewItemsInFilter="1" defaultSubtotal="0"/>
    <pivotField dataField="1" compact="0" numFmtId="179" outline="0" subtotalTop="0" showAll="0" includeNewItemsInFilter="1" defaultSubtotal="0"/>
    <pivotField compact="0" numFmtId="179" outline="0" subtotalTop="0" showAll="0" includeNewItemsInFilter="1" defaultSubtotal="0"/>
    <pivotField compact="0" numFmtId="179" outline="0" subtotalTop="0" showAll="0" includeNewItemsInFilter="1" defaultSubtotal="0"/>
    <pivotField compact="0" outline="0" subtotalTop="0" showAll="0" includeNewItemsInFilter="1" defaultSubtotal="0"/>
    <pivotField compact="0" numFmtId="179" outline="0" subtotalTop="0" showAll="0" includeNewItemsInFilter="1" defaultSubtotal="0"/>
    <pivotField compact="0" outline="0" subtotalTop="0" showAll="0" includeNewItemsInFilter="1" defaultSubtotal="0"/>
    <pivotField compact="0" numFmtId="179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howAll="0" defaultSubtotal="0"/>
    <pivotField compact="0" outline="0" showAll="0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showAll="0" includeNewItemsInFilter="1" defaultSubtotal="0"/>
    <pivotField compact="0" outline="0" subtotalTop="0" dragToRow="0" dragToCol="0" dragToPage="0" showAll="0" includeNewItemsInFilter="1" defaultSubtotal="0"/>
  </pivotFields>
  <rowFields count="1">
    <field x="9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7" hier="0"/>
  </pageFields>
  <dataFields count="3">
    <dataField name="个数" fld="5" subtotal="count" baseField="0" baseItem="0"/>
    <dataField name="首交" fld="21" baseField="0" baseItem="0"/>
    <dataField name="技术" fld="23" baseField="0" baseItem="0"/>
  </dataFields>
  <formats count="12">
    <format dxfId="235">
      <pivotArea grandRow="1" outline="0" fieldPosition="0"/>
    </format>
    <format dxfId="234">
      <pivotArea dataOnly="0" labelOnly="1" grandRow="1" outline="0" fieldPosition="0"/>
    </format>
    <format dxfId="233">
      <pivotArea grandRow="1" outline="0" fieldPosition="0"/>
    </format>
    <format dxfId="232">
      <pivotArea dataOnly="0" labelOnly="1" grandRow="1" outline="0" fieldPosition="0"/>
    </format>
    <format dxfId="231">
      <pivotArea type="all" dataOnly="0" outline="0" fieldPosition="0"/>
    </format>
    <format dxfId="230">
      <pivotArea dataOnly="0" labelOnly="1" outline="0" fieldPosition="0">
        <references count="1">
          <reference field="4294967294" count="0"/>
        </references>
      </pivotArea>
    </format>
    <format dxfId="229">
      <pivotArea grandRow="1" outline="0" fieldPosition="0"/>
    </format>
    <format dxfId="228">
      <pivotArea dataOnly="0" labelOnly="1" grandRow="1" outline="0" fieldPosition="0"/>
    </format>
    <format dxfId="227">
      <pivotArea dataOnly="0" labelOnly="1" grandRow="1" outline="0" offset="A256" fieldPosition="0"/>
    </format>
    <format dxfId="226">
      <pivotArea dataOnly="0" labelOnly="1" outline="0" fieldPosition="0">
        <references count="1">
          <reference field="4294967294" count="0"/>
        </references>
      </pivotArea>
    </format>
    <format dxfId="225">
      <pivotArea outline="0" fieldPosition="0"/>
    </format>
    <format dxfId="224">
      <pivotArea type="all" dataOnly="0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数据透视表1" cacheId="2" dataPosition="1" applyNumberFormats="0" applyBorderFormats="0" applyFontFormats="0" applyPatternFormats="0" applyAlignmentFormats="0" applyWidthHeightFormats="1" dataCaption="数据" updatedVersion="4" showDrill="0" useAutoFormatting="1" createdVersion="4" indent="0" compact="0" compactData="0" gridDropZones="1">
  <location ref="B2:E5" firstHeaderRow="1" firstDataRow="3" firstDataCol="1"/>
  <pivotFields count="48">
    <pivotField compact="0" outline="0" subtotalTop="0" showAll="0" includeNewItemsInFilter="1"/>
    <pivotField compact="0" outline="0" showAll="0" defaultSubtotal="0"/>
    <pivotField compact="0" outline="0" showAll="0" defaultSubtotal="0"/>
    <pivotField dataField="1"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5">
        <item m="1" x="4"/>
        <item m="1" x="1"/>
        <item m="1" x="2"/>
        <item m="1" x="3"/>
        <item h="1" x="0"/>
      </items>
    </pivotField>
    <pivotField compact="0" outline="0" subtotalTop="0" showAll="0" includeNewItemsInFilter="1" defaultSubtotal="0"/>
    <pivotField axis="axisCol" compact="0" outline="0" subtotalTop="0" showAll="0" includeNewItemsInFilter="1" sortType="ascending">
      <items count="8">
        <item m="1" x="4"/>
        <item m="1" x="2"/>
        <item m="1" x="3"/>
        <item m="1" x="5"/>
        <item m="1" x="6"/>
        <item h="1" m="1" x="1"/>
        <item h="1" x="0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</pivotFields>
  <rowFields count="1">
    <field x="7"/>
  </rowFields>
  <rowItems count="1">
    <i t="grand">
      <x/>
    </i>
  </rowItems>
  <colFields count="2">
    <field x="9"/>
    <field x="-2"/>
  </colFields>
  <colItems count="3">
    <i t="grand">
      <x/>
    </i>
    <i t="grand" i="1">
      <x v="1"/>
    </i>
    <i t="grand" i="2">
      <x v="2"/>
    </i>
  </colItems>
  <dataFields count="3">
    <dataField name="数量" fld="3" subtotal="count" baseField="5" baseItem="1"/>
    <dataField name="人天" fld="23" baseField="0" baseItem="0"/>
    <dataField name="进度" fld="23" subtotal="count" showDataAs="percentOfRow" baseField="0" baseItem="0" numFmtId="10"/>
  </dataFields>
  <formats count="135">
    <format dxfId="149">
      <pivotArea grandRow="1" outline="0" collapsedLevelsAreSubtotals="1" fieldPosition="0"/>
    </format>
    <format dxfId="148">
      <pivotArea dataOnly="0" labelOnly="1" grandRow="1" outline="0" fieldPosition="0"/>
    </format>
    <format dxfId="147">
      <pivotArea grandRow="1" outline="0" collapsedLevelsAreSubtotals="1" fieldPosition="0"/>
    </format>
    <format dxfId="146">
      <pivotArea dataOnly="0" labelOnly="1" grandRow="1" outline="0" fieldPosition="0"/>
    </format>
    <format dxfId="145">
      <pivotArea type="all" dataOnly="0" outline="0" fieldPosition="0"/>
    </format>
    <format dxfId="144">
      <pivotArea dataOnly="0" labelOnly="1" outline="0" fieldPosition="0">
        <references count="1">
          <reference field="9" count="0"/>
        </references>
      </pivotArea>
    </format>
    <format dxfId="143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142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141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3"/>
          </reference>
        </references>
      </pivotArea>
    </format>
    <format dxfId="140">
      <pivotArea dataOnly="0" labelOnly="1" outline="0" fieldPosition="0">
        <references count="1">
          <reference field="9" count="2">
            <x v="3"/>
            <x v="5"/>
          </reference>
        </references>
      </pivotArea>
    </format>
    <format dxfId="139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138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137">
      <pivotArea grandRow="1" outline="0" collapsedLevelsAreSubtotals="1" fieldPosition="0"/>
    </format>
    <format dxfId="136">
      <pivotArea grandRow="1" outline="0" collapsedLevelsAreSubtotals="1" fieldPosition="0">
        <references count="1">
          <reference field="9" count="2" selected="0">
            <x v="3"/>
            <x v="5"/>
          </reference>
        </references>
      </pivotArea>
    </format>
    <format dxfId="135">
      <pivotArea grandRow="1" grandCol="1"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34">
      <pivotArea field="9" type="button" dataOnly="0" labelOnly="1" outline="0" fieldPosition="0"/>
    </format>
    <format dxfId="133">
      <pivotArea field="-2" type="button" dataOnly="0" labelOnly="1" outline="0" fieldPosition="0"/>
    </format>
    <format dxfId="132">
      <pivotArea type="topRight" dataOnly="0" labelOnly="1" outline="0" fieldPosition="0"/>
    </format>
    <format dxfId="131">
      <pivotArea dataOnly="0" labelOnly="1" outline="0" fieldPosition="0">
        <references count="1">
          <reference field="9" count="2">
            <x v="3"/>
            <x v="5"/>
          </reference>
        </references>
      </pivotArea>
    </format>
    <format dxfId="130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129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128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3"/>
          </reference>
        </references>
      </pivotArea>
    </format>
    <format dxfId="127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5"/>
          </reference>
        </references>
      </pivotArea>
    </format>
    <format dxfId="126">
      <pivotArea field="9" type="button" dataOnly="0" labelOnly="1" outline="0" fieldPosition="0"/>
    </format>
    <format dxfId="125">
      <pivotArea field="-2" type="button" dataOnly="0" labelOnly="1" outline="0" fieldPosition="0"/>
    </format>
    <format dxfId="124">
      <pivotArea type="topRight" dataOnly="0" labelOnly="1" outline="0" fieldPosition="0"/>
    </format>
    <format dxfId="123">
      <pivotArea dataOnly="0" labelOnly="1" outline="0" fieldPosition="0">
        <references count="1">
          <reference field="9" count="2">
            <x v="3"/>
            <x v="5"/>
          </reference>
        </references>
      </pivotArea>
    </format>
    <format dxfId="122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121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120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3"/>
          </reference>
        </references>
      </pivotArea>
    </format>
    <format dxfId="119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5"/>
          </reference>
        </references>
      </pivotArea>
    </format>
    <format dxfId="118">
      <pivotArea type="origin" dataOnly="0" labelOnly="1" outline="0" fieldPosition="0"/>
    </format>
    <format dxfId="117">
      <pivotArea field="9" type="button" dataOnly="0" labelOnly="1" outline="0" fieldPosition="0"/>
    </format>
    <format dxfId="116">
      <pivotArea field="-2" type="button" dataOnly="0" labelOnly="1" outline="0" fieldPosition="0"/>
    </format>
    <format dxfId="115">
      <pivotArea type="topRight" dataOnly="0" labelOnly="1" outline="0" fieldPosition="0"/>
    </format>
    <format dxfId="114">
      <pivotArea dataOnly="0" labelOnly="1" outline="0" fieldPosition="0">
        <references count="1">
          <reference field="9" count="2">
            <x v="3"/>
            <x v="5"/>
          </reference>
        </references>
      </pivotArea>
    </format>
    <format dxfId="113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112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111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3"/>
          </reference>
        </references>
      </pivotArea>
    </format>
    <format dxfId="110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5"/>
          </reference>
        </references>
      </pivotArea>
    </format>
    <format dxfId="109">
      <pivotArea type="origin" dataOnly="0" labelOnly="1" outline="0" fieldPosition="0"/>
    </format>
    <format dxfId="108">
      <pivotArea field="9" type="button" dataOnly="0" labelOnly="1" outline="0" fieldPosition="0"/>
    </format>
    <format dxfId="107">
      <pivotArea field="-2" type="button" dataOnly="0" labelOnly="1" outline="0" fieldPosition="0"/>
    </format>
    <format dxfId="106">
      <pivotArea type="topRight" dataOnly="0" labelOnly="1" outline="0" fieldPosition="0"/>
    </format>
    <format dxfId="105">
      <pivotArea dataOnly="0" labelOnly="1" outline="0" fieldPosition="0">
        <references count="1">
          <reference field="9" count="2">
            <x v="3"/>
            <x v="5"/>
          </reference>
        </references>
      </pivotArea>
    </format>
    <format dxfId="104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103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102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3"/>
          </reference>
        </references>
      </pivotArea>
    </format>
    <format dxfId="101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5"/>
          </reference>
        </references>
      </pivotArea>
    </format>
    <format dxfId="100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5"/>
          </reference>
        </references>
      </pivotArea>
    </format>
    <format dxfId="99">
      <pivotArea grandRow="1" outline="0" collapsedLevelsAreSubtotals="1" fieldPosition="0"/>
    </format>
    <format dxfId="98">
      <pivotArea dataOnly="0" labelOnly="1" grandRow="1" outline="0" fieldPosition="0"/>
    </format>
    <format dxfId="97">
      <pivotArea dataOnly="0" labelOnly="1" outline="0" fieldPosition="0">
        <references count="1">
          <reference field="9" count="0"/>
        </references>
      </pivotArea>
    </format>
    <format dxfId="96">
      <pivotArea dataOnly="0" labelOnly="1" outline="0" fieldPosition="0">
        <references count="1">
          <reference field="9" count="0"/>
        </references>
      </pivotArea>
    </format>
    <format dxfId="95">
      <pivotArea dataOnly="0" labelOnly="1" outline="0" fieldPosition="0">
        <references count="1">
          <reference field="9" count="0"/>
        </references>
      </pivotArea>
    </format>
    <format dxfId="94">
      <pivotArea dataOnly="0" labelOnly="1" outline="0" fieldPosition="0">
        <references count="1">
          <reference field="9" count="0"/>
        </references>
      </pivotArea>
    </format>
    <format dxfId="93">
      <pivotArea dataOnly="0" labelOnly="1" outline="0" fieldPosition="0">
        <references count="1">
          <reference field="9" count="0"/>
        </references>
      </pivotArea>
    </format>
    <format dxfId="92">
      <pivotArea dataOnly="0" labelOnly="1" outline="0" fieldPosition="0">
        <references count="1">
          <reference field="9" count="0"/>
        </references>
      </pivotArea>
    </format>
    <format dxfId="91">
      <pivotArea dataOnly="0" labelOnly="1" outline="0" fieldPosition="0">
        <references count="1">
          <reference field="9" count="0"/>
        </references>
      </pivotArea>
    </format>
    <format dxfId="90">
      <pivotArea dataOnly="0" labelOnly="1" outline="0" fieldPosition="0">
        <references count="1">
          <reference field="9" count="0"/>
        </references>
      </pivotArea>
    </format>
    <format dxfId="89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88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87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0"/>
          </reference>
        </references>
      </pivotArea>
    </format>
    <format dxfId="86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1"/>
          </reference>
        </references>
      </pivotArea>
    </format>
    <format dxfId="85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2"/>
          </reference>
        </references>
      </pivotArea>
    </format>
    <format dxfId="84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3"/>
          </reference>
        </references>
      </pivotArea>
    </format>
    <format dxfId="83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4"/>
          </reference>
        </references>
      </pivotArea>
    </format>
    <format dxfId="82">
      <pivotArea dataOnly="0" labelOnly="1" outline="0" fieldPosition="0">
        <references count="1">
          <reference field="7" count="0"/>
        </references>
      </pivotArea>
    </format>
    <format dxfId="81">
      <pivotArea dataOnly="0" labelOnly="1" outline="0" fieldPosition="0">
        <references count="1">
          <reference field="9" count="0"/>
        </references>
      </pivotArea>
    </format>
    <format dxfId="80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79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78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0"/>
          </reference>
        </references>
      </pivotArea>
    </format>
    <format dxfId="77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1"/>
          </reference>
        </references>
      </pivotArea>
    </format>
    <format dxfId="76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2"/>
          </reference>
        </references>
      </pivotArea>
    </format>
    <format dxfId="75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3"/>
          </reference>
        </references>
      </pivotArea>
    </format>
    <format dxfId="74">
      <pivotArea dataOnly="0" labelOnly="1" outline="0" fieldPosition="0">
        <references count="2">
          <reference field="4294967294" count="2">
            <x v="1"/>
            <x v="2"/>
          </reference>
          <reference field="9" count="1" selected="0">
            <x v="4"/>
          </reference>
        </references>
      </pivotArea>
    </format>
    <format dxfId="73">
      <pivotArea dataOnly="0" labelOnly="1" outline="0" fieldPosition="0">
        <references count="1">
          <reference field="9" count="0"/>
        </references>
      </pivotArea>
    </format>
    <format dxfId="72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71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70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6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0"/>
          </reference>
        </references>
      </pivotArea>
    </format>
    <format dxfId="6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1"/>
          </reference>
        </references>
      </pivotArea>
    </format>
    <format dxfId="6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2"/>
          </reference>
        </references>
      </pivotArea>
    </format>
    <format dxfId="6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3"/>
          </reference>
        </references>
      </pivotArea>
    </format>
    <format dxfId="6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4"/>
          </reference>
        </references>
      </pivotArea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dataOnly="0" labelOnly="1" outline="0" fieldPosition="0">
        <references count="1">
          <reference field="7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9" count="0"/>
        </references>
      </pivotArea>
    </format>
    <format dxfId="59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58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57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5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0"/>
          </reference>
        </references>
      </pivotArea>
    </format>
    <format dxfId="5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1"/>
          </reference>
        </references>
      </pivotArea>
    </format>
    <format dxfId="5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2"/>
          </reference>
        </references>
      </pivotArea>
    </format>
    <format dxfId="5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3"/>
          </reference>
        </references>
      </pivotArea>
    </format>
    <format dxfId="52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4"/>
          </reference>
        </references>
      </pivotArea>
    </format>
    <format dxfId="51">
      <pivotArea dataOnly="0" labelOnly="1" outline="0" fieldPosition="0">
        <references count="1">
          <reference field="9" count="0"/>
        </references>
      </pivotArea>
    </format>
    <format dxfId="50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49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48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4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0"/>
          </reference>
        </references>
      </pivotArea>
    </format>
    <format dxfId="4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1"/>
          </reference>
        </references>
      </pivotArea>
    </format>
    <format dxfId="4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2"/>
          </reference>
        </references>
      </pivotArea>
    </format>
    <format dxfId="4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3"/>
          </reference>
        </references>
      </pivotArea>
    </format>
    <format dxfId="4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4"/>
          </reference>
        </references>
      </pivotArea>
    </format>
    <format dxfId="42">
      <pivotArea dataOnly="0" labelOnly="1" outline="0" fieldPosition="0">
        <references count="1">
          <reference field="9" count="0"/>
        </references>
      </pivotArea>
    </format>
    <format dxfId="41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40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39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3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0"/>
          </reference>
        </references>
      </pivotArea>
    </format>
    <format dxfId="3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1"/>
          </reference>
        </references>
      </pivotArea>
    </format>
    <format dxfId="3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2"/>
          </reference>
        </references>
      </pivotArea>
    </format>
    <format dxfId="3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3"/>
          </reference>
        </references>
      </pivotArea>
    </format>
    <format dxfId="3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4"/>
          </reference>
        </references>
      </pivotArea>
    </format>
    <format dxfId="33">
      <pivotArea dataOnly="0" labelOnly="1" outline="0" fieldPosition="0">
        <references count="1">
          <reference field="7" count="0"/>
        </references>
      </pivotArea>
    </format>
    <format dxfId="32">
      <pivotArea dataOnly="0" labelOnly="1" outline="0" fieldPosition="0">
        <references count="1">
          <reference field="9" count="0"/>
        </references>
      </pivotArea>
    </format>
    <format dxfId="31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30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2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0"/>
          </reference>
        </references>
      </pivotArea>
    </format>
    <format dxfId="2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1"/>
          </reference>
        </references>
      </pivotArea>
    </format>
    <format dxfId="2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2"/>
          </reference>
        </references>
      </pivotArea>
    </format>
    <format dxfId="2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3"/>
          </reference>
        </references>
      </pivotArea>
    </format>
    <format dxfId="24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4"/>
          </reference>
        </references>
      </pivotArea>
    </format>
    <format dxfId="23">
      <pivotArea dataOnly="0" labelOnly="1" outline="0" fieldPosition="0">
        <references count="1">
          <reference field="9" count="0"/>
        </references>
      </pivotArea>
    </format>
    <format dxfId="22">
      <pivotArea dataOnly="0" labelOnly="1" grandCol="1" outline="0" fieldPosition="0">
        <references count="1">
          <reference field="4294967294" count="1" selected="0">
            <x v="0"/>
          </reference>
        </references>
      </pivotArea>
    </format>
    <format dxfId="21">
      <pivotArea dataOnly="0" labelOnly="1" grandCol="1" outline="0" fieldPosition="0">
        <references count="1">
          <reference field="4294967294" count="1" selected="0">
            <x v="1"/>
          </reference>
        </references>
      </pivotArea>
    </format>
    <format dxfId="20">
      <pivotArea dataOnly="0" labelOnly="1" grandCol="1" outline="0" fieldPosition="0">
        <references count="1">
          <reference field="4294967294" count="1" selected="0">
            <x v="2"/>
          </reference>
        </references>
      </pivotArea>
    </format>
    <format dxfId="1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0"/>
          </reference>
        </references>
      </pivotArea>
    </format>
    <format dxfId="1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1"/>
          </reference>
        </references>
      </pivotArea>
    </format>
    <format dxfId="1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2"/>
          </reference>
        </references>
      </pivotArea>
    </format>
    <format dxfId="1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3"/>
          </reference>
        </references>
      </pivotArea>
    </format>
    <format dxfId="1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9" count="1" selected="0">
            <x v="4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ColWidth="9" defaultRowHeight="15.6" x14ac:dyDescent="0.25"/>
  <sheetData/>
  <phoneticPr fontId="1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H30"/>
  <sheetViews>
    <sheetView showGridLines="0" tabSelected="1" zoomScaleNormal="100" workbookViewId="0">
      <pane xSplit="7" ySplit="3" topLeftCell="L19" activePane="bottomRight" state="frozen"/>
      <selection pane="topRight"/>
      <selection pane="bottomLeft"/>
      <selection pane="bottomRight" activeCell="N26" sqref="N26"/>
    </sheetView>
  </sheetViews>
  <sheetFormatPr defaultColWidth="7.19921875" defaultRowHeight="12" outlineLevelCol="2" x14ac:dyDescent="0.25"/>
  <cols>
    <col min="1" max="1" width="0.69921875" style="34" customWidth="1"/>
    <col min="2" max="2" width="5.09765625" style="59" customWidth="1"/>
    <col min="3" max="3" width="23.09765625" style="49" customWidth="1"/>
    <col min="4" max="4" width="16.5" style="49" customWidth="1"/>
    <col min="5" max="5" width="11.69921875" style="49" customWidth="1"/>
    <col min="6" max="6" width="11.3984375" style="34" customWidth="1"/>
    <col min="7" max="7" width="42.8984375" style="60" customWidth="1"/>
    <col min="8" max="8" width="59.19921875" style="34" customWidth="1"/>
    <col min="9" max="9" width="7.19921875" style="49" customWidth="1"/>
    <col min="10" max="10" width="9" style="49" customWidth="1"/>
    <col min="11" max="11" width="10.69921875" style="49" customWidth="1"/>
    <col min="12" max="12" width="7.5" style="34" customWidth="1"/>
    <col min="13" max="13" width="20.19921875" style="49" customWidth="1"/>
    <col min="14" max="14" width="9.8984375" style="49" customWidth="1"/>
    <col min="15" max="15" width="4.19921875" style="49" customWidth="1"/>
    <col min="16" max="16" width="5.69921875" style="49" customWidth="1"/>
    <col min="17" max="19" width="4.19921875" style="49" customWidth="1"/>
    <col min="20" max="20" width="7.69921875" style="49" customWidth="1"/>
    <col min="21" max="21" width="4.19921875" style="49" hidden="1" customWidth="1"/>
    <col min="22" max="22" width="7.3984375" style="49" hidden="1" customWidth="1"/>
    <col min="23" max="23" width="8.5" style="49" hidden="1" customWidth="1"/>
    <col min="24" max="24" width="5.19921875" style="49" hidden="1" customWidth="1"/>
    <col min="25" max="25" width="6" style="49" hidden="1" customWidth="1"/>
    <col min="26" max="26" width="4.19921875" style="49" hidden="1" customWidth="1"/>
    <col min="27" max="27" width="5.5" style="49" hidden="1" customWidth="1"/>
    <col min="28" max="28" width="4.19921875" style="49" hidden="1" customWidth="1"/>
    <col min="29" max="29" width="6.19921875" style="49" hidden="1" customWidth="1"/>
    <col min="30" max="31" width="4.19921875" style="49" hidden="1" customWidth="1"/>
    <col min="32" max="32" width="7" style="34" customWidth="1" outlineLevel="1"/>
    <col min="33" max="33" width="7.69921875" style="34" customWidth="1" outlineLevel="1"/>
    <col min="34" max="34" width="11.69921875" style="34" hidden="1" customWidth="1" outlineLevel="1"/>
    <col min="35" max="35" width="6.5" style="34" customWidth="1" outlineLevel="1"/>
    <col min="36" max="36" width="5.69921875" style="34" customWidth="1" outlineLevel="1"/>
    <col min="37" max="37" width="10.8984375" style="34" hidden="1" customWidth="1" outlineLevel="1"/>
    <col min="38" max="38" width="7.69921875" style="34" hidden="1" customWidth="1" outlineLevel="1"/>
    <col min="39" max="40" width="5.69921875" style="34" customWidth="1" outlineLevel="1"/>
    <col min="41" max="42" width="7.69921875" style="34" hidden="1" customWidth="1" outlineLevel="1"/>
    <col min="43" max="43" width="6.5" style="34" hidden="1" customWidth="1" outlineLevel="2"/>
    <col min="44" max="44" width="5.69921875" style="49" hidden="1" customWidth="1" outlineLevel="2"/>
    <col min="45" max="45" width="9.5" style="34" hidden="1" customWidth="1" outlineLevel="2"/>
    <col min="46" max="46" width="31.5" style="34" hidden="1" customWidth="1" outlineLevel="2"/>
    <col min="47" max="47" width="5" style="34" hidden="1" customWidth="1" outlineLevel="1" collapsed="1"/>
    <col min="48" max="48" width="7.69921875" style="34" hidden="1" customWidth="1" outlineLevel="1"/>
    <col min="49" max="49" width="24.19921875" style="34" hidden="1" customWidth="1" outlineLevel="1"/>
    <col min="50" max="51" width="6.5" style="34" customWidth="1"/>
    <col min="52" max="52" width="10.19921875" style="34" hidden="1" customWidth="1"/>
    <col min="53" max="58" width="2.5" style="34" customWidth="1"/>
    <col min="59" max="59" width="34.5" style="34" customWidth="1"/>
    <col min="60" max="60" width="20.19921875" style="34" customWidth="1"/>
    <col min="61" max="113" width="2.5" style="34" customWidth="1"/>
    <col min="114" max="16384" width="7.19921875" style="34"/>
  </cols>
  <sheetData>
    <row r="1" spans="2:60" ht="20.399999999999999" x14ac:dyDescent="0.25">
      <c r="C1" s="61"/>
      <c r="D1" s="61"/>
      <c r="E1" s="61"/>
      <c r="F1" s="62"/>
      <c r="G1" s="63" t="s">
        <v>0</v>
      </c>
      <c r="H1" s="62"/>
      <c r="I1" s="62"/>
      <c r="J1" s="61"/>
      <c r="K1" s="62"/>
      <c r="L1" s="62"/>
      <c r="M1" s="62"/>
      <c r="N1" s="69" t="s">
        <v>1</v>
      </c>
      <c r="O1" s="70">
        <f ca="1">SUBTOTAL(9,O2:O23)</f>
        <v>64.999999999999986</v>
      </c>
      <c r="P1" s="70">
        <f ca="1">SUBTOTAL(9,P2:P349)</f>
        <v>155.46666666666664</v>
      </c>
      <c r="Q1" s="70">
        <f t="shared" ref="Q1:AA1" ca="1" si="0">SUBTOTAL(9,Q2:Q23)</f>
        <v>0</v>
      </c>
      <c r="R1" s="70">
        <f t="shared" ca="1" si="0"/>
        <v>32.499999999999993</v>
      </c>
      <c r="S1" s="70">
        <f t="shared" ca="1" si="0"/>
        <v>64.999999999999986</v>
      </c>
      <c r="T1" s="70">
        <f t="shared" ca="1" si="0"/>
        <v>135.44999999999999</v>
      </c>
      <c r="U1" s="70">
        <f t="shared" ca="1" si="0"/>
        <v>29.250000000000004</v>
      </c>
      <c r="V1" s="70">
        <f t="shared" ca="1" si="0"/>
        <v>11.920000000000002</v>
      </c>
      <c r="W1" s="73">
        <f t="shared" ca="1" si="0"/>
        <v>141.93999999999997</v>
      </c>
      <c r="X1" s="73">
        <f t="shared" ca="1" si="0"/>
        <v>184.20000000000002</v>
      </c>
      <c r="Y1" s="73">
        <f t="shared" ca="1" si="0"/>
        <v>212.37</v>
      </c>
      <c r="Z1" s="73">
        <f t="shared" ca="1" si="0"/>
        <v>61.750000000000014</v>
      </c>
      <c r="AA1" s="73">
        <f t="shared" ca="1" si="0"/>
        <v>274.12</v>
      </c>
      <c r="AB1" s="73"/>
      <c r="AC1" s="73">
        <f ca="1">SUBTOTAL(9,AC2:AC23)</f>
        <v>274.12</v>
      </c>
      <c r="AD1" s="73"/>
      <c r="AE1" s="73">
        <f>SUBTOTAL(9,AE2:AE23)</f>
        <v>0</v>
      </c>
      <c r="AF1" s="130" t="s">
        <v>2</v>
      </c>
      <c r="AG1" s="131"/>
      <c r="AH1" s="131"/>
      <c r="AI1" s="132" t="s">
        <v>4</v>
      </c>
      <c r="AJ1" s="133"/>
      <c r="AK1" s="133"/>
      <c r="AL1" s="134"/>
      <c r="AM1" s="132" t="s">
        <v>5</v>
      </c>
      <c r="AN1" s="133"/>
      <c r="AO1" s="133"/>
      <c r="AP1" s="134"/>
      <c r="AQ1" s="132" t="s">
        <v>6</v>
      </c>
      <c r="AR1" s="133"/>
      <c r="AS1" s="133"/>
      <c r="AT1" s="134"/>
      <c r="AU1" s="135" t="s">
        <v>7</v>
      </c>
      <c r="AV1" s="135"/>
      <c r="AW1" s="135"/>
      <c r="AX1" s="132" t="s">
        <v>3</v>
      </c>
      <c r="AY1" s="134"/>
      <c r="AZ1" s="128"/>
    </row>
    <row r="2" spans="2:60" s="58" customFormat="1" ht="24" x14ac:dyDescent="0.25">
      <c r="B2" s="136" t="s">
        <v>8</v>
      </c>
      <c r="C2" s="136" t="s">
        <v>632</v>
      </c>
      <c r="D2" s="136" t="s">
        <v>9</v>
      </c>
      <c r="E2" s="136" t="s">
        <v>10</v>
      </c>
      <c r="F2" s="64" t="s">
        <v>618</v>
      </c>
      <c r="G2" s="138" t="s">
        <v>11</v>
      </c>
      <c r="H2" s="136" t="s">
        <v>12</v>
      </c>
      <c r="I2" s="136" t="s">
        <v>13</v>
      </c>
      <c r="J2" s="136" t="s">
        <v>14</v>
      </c>
      <c r="K2" s="136" t="s">
        <v>15</v>
      </c>
      <c r="L2" s="136" t="s">
        <v>16</v>
      </c>
      <c r="M2" s="136" t="s">
        <v>17</v>
      </c>
      <c r="N2" s="136" t="s">
        <v>18</v>
      </c>
      <c r="O2" s="136" t="s">
        <v>19</v>
      </c>
      <c r="P2" s="136" t="s">
        <v>20</v>
      </c>
      <c r="Q2" s="136" t="s">
        <v>21</v>
      </c>
      <c r="R2" s="136" t="s">
        <v>2</v>
      </c>
      <c r="S2" s="136" t="s">
        <v>22</v>
      </c>
      <c r="T2" s="140" t="s">
        <v>23</v>
      </c>
      <c r="U2" s="136" t="s">
        <v>24</v>
      </c>
      <c r="V2" s="136" t="s">
        <v>25</v>
      </c>
      <c r="W2" s="140" t="s">
        <v>26</v>
      </c>
      <c r="X2" s="136" t="s">
        <v>27</v>
      </c>
      <c r="Y2" s="136" t="s">
        <v>28</v>
      </c>
      <c r="Z2" s="136" t="s">
        <v>29</v>
      </c>
      <c r="AA2" s="136" t="s">
        <v>30</v>
      </c>
      <c r="AB2" s="136" t="s">
        <v>31</v>
      </c>
      <c r="AC2" s="136" t="s">
        <v>32</v>
      </c>
      <c r="AD2" s="136" t="s">
        <v>33</v>
      </c>
      <c r="AE2" s="136" t="s">
        <v>34</v>
      </c>
      <c r="AF2" s="136" t="s">
        <v>35</v>
      </c>
      <c r="AG2" s="136" t="s">
        <v>15</v>
      </c>
      <c r="AH2" s="136" t="s">
        <v>37</v>
      </c>
      <c r="AI2" s="136" t="s">
        <v>39</v>
      </c>
      <c r="AJ2" s="136" t="s">
        <v>15</v>
      </c>
      <c r="AK2" s="136" t="s">
        <v>36</v>
      </c>
      <c r="AL2" s="136" t="s">
        <v>37</v>
      </c>
      <c r="AM2" s="143" t="s">
        <v>40</v>
      </c>
      <c r="AN2" s="143" t="s">
        <v>15</v>
      </c>
      <c r="AO2" s="136" t="s">
        <v>36</v>
      </c>
      <c r="AP2" s="136" t="s">
        <v>37</v>
      </c>
      <c r="AQ2" s="136" t="s">
        <v>41</v>
      </c>
      <c r="AR2" s="143" t="s">
        <v>15</v>
      </c>
      <c r="AS2" s="143" t="s">
        <v>42</v>
      </c>
      <c r="AT2" s="143" t="s">
        <v>43</v>
      </c>
      <c r="AU2" s="136" t="s">
        <v>44</v>
      </c>
      <c r="AV2" s="136" t="s">
        <v>45</v>
      </c>
      <c r="AW2" s="136" t="s">
        <v>46</v>
      </c>
      <c r="AX2" s="136" t="s">
        <v>47</v>
      </c>
      <c r="AY2" s="136" t="s">
        <v>38</v>
      </c>
      <c r="AZ2" s="129" t="s">
        <v>617</v>
      </c>
      <c r="BA2" s="76">
        <f>MONTH(BA3)</f>
        <v>7</v>
      </c>
      <c r="BB2" s="77" t="str">
        <f t="shared" ref="BB2:BF2" si="1">IF(MONTH(BB3)=MONTH(BA3),"",MONTH(BB3))</f>
        <v/>
      </c>
      <c r="BC2" s="77" t="str">
        <f t="shared" si="1"/>
        <v/>
      </c>
      <c r="BD2" s="77">
        <f t="shared" si="1"/>
        <v>8</v>
      </c>
      <c r="BE2" s="77" t="str">
        <f t="shared" si="1"/>
        <v/>
      </c>
      <c r="BF2" s="77" t="str">
        <f t="shared" si="1"/>
        <v/>
      </c>
    </row>
    <row r="3" spans="2:60" s="58" customFormat="1" x14ac:dyDescent="0.25">
      <c r="B3" s="137"/>
      <c r="C3" s="137"/>
      <c r="D3" s="137"/>
      <c r="E3" s="137"/>
      <c r="F3" s="65"/>
      <c r="G3" s="139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41"/>
      <c r="U3" s="142"/>
      <c r="V3" s="137"/>
      <c r="W3" s="141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44"/>
      <c r="AN3" s="144"/>
      <c r="AO3" s="137"/>
      <c r="AP3" s="137"/>
      <c r="AQ3" s="137"/>
      <c r="AR3" s="144"/>
      <c r="AS3" s="144"/>
      <c r="AT3" s="144"/>
      <c r="AU3" s="137"/>
      <c r="AV3" s="137"/>
      <c r="AW3" s="137"/>
      <c r="AX3" s="137"/>
      <c r="AY3" s="137"/>
      <c r="AZ3" s="83"/>
      <c r="BA3" s="78">
        <v>45487</v>
      </c>
      <c r="BB3" s="78">
        <f>$BA$3+7*(COLUMN()-COLUMN($BA$3))</f>
        <v>45494</v>
      </c>
      <c r="BC3" s="78">
        <f t="shared" ref="BC3:BF3" si="2">$BA$3+7*(COLUMN()-COLUMN($BA$3))</f>
        <v>45501</v>
      </c>
      <c r="BD3" s="78">
        <f t="shared" si="2"/>
        <v>45508</v>
      </c>
      <c r="BE3" s="78">
        <f t="shared" si="2"/>
        <v>45515</v>
      </c>
      <c r="BF3" s="78">
        <f t="shared" si="2"/>
        <v>45522</v>
      </c>
    </row>
    <row r="4" spans="2:60" ht="27.45" customHeight="1" x14ac:dyDescent="0.25">
      <c r="B4" s="59" t="s">
        <v>630</v>
      </c>
      <c r="C4" s="59" t="s">
        <v>633</v>
      </c>
      <c r="D4" s="66" t="s">
        <v>680</v>
      </c>
      <c r="E4" s="66" t="s">
        <v>680</v>
      </c>
      <c r="F4" s="59"/>
      <c r="G4" s="67" t="s">
        <v>634</v>
      </c>
      <c r="H4" s="68"/>
      <c r="I4" s="59" t="s">
        <v>59</v>
      </c>
      <c r="J4" s="59" t="s">
        <v>48</v>
      </c>
      <c r="K4" s="71" t="s">
        <v>625</v>
      </c>
      <c r="L4" s="59" t="s">
        <v>50</v>
      </c>
      <c r="M4" s="59" t="s">
        <v>57</v>
      </c>
      <c r="N4" s="59" t="s">
        <v>52</v>
      </c>
      <c r="O4" s="72">
        <f t="shared" ref="O4:O23" ca="1" si="3">INDEX(Design_Days,VLOOKUP(M4,Index_Rows,2,FALSE),VLOOKUP(N4,Index_Cols,2,FALSE))/VLOOKUP(VLOOKUP(AY4,INDIRECT("Lookups!"&amp;ADDRESS(ROW(Resource_Level)+1,COLUMN(Resource_Level),4)&amp;":"&amp;ADDRESS(ROW(Resource_Level)+Resource_Rows,COLUMN(Resource_Level)+1,4)),2,FALSE),LU_Level_Metrics,2,FALSE)</f>
        <v>0.7</v>
      </c>
      <c r="P4" s="72">
        <f t="shared" ref="P4:P6" ca="1" si="4">INDEX(Build_Days,VLOOKUP(M4,Index_Rows,2,FALSE),VLOOKUP(N4,Index_Cols,2,FALSE))/VLOOKUP(VLOOKUP(AY4,INDIRECT("Lookups!"&amp;ADDRESS(ROW(Resource_Level)+1,COLUMN(Resource_Level),4)&amp;":"&amp;ADDRESS(ROW(Resource_Level)+Resource_Rows,COLUMN(Resource_Level)+1,4)),2,FALSE),LU_Level_Metrics,2,FALSE)</f>
        <v>1.4</v>
      </c>
      <c r="Q4" s="72">
        <f t="shared" ref="Q4:Q6" ca="1" si="5">IF(INDEX(Build_Days,VLOOKUP(M4,Index_Rows,2,FALSE),1)=1,(O4+P4)*0.2,0)/VLOOKUP(VLOOKUP(AY4,INDIRECT("Lookups!"&amp;ADDRESS(ROW(Resource_Level)+1,COLUMN(Resource_Level),4)&amp;":"&amp;ADDRESS(ROW(Resource_Level)+Resource_Rows,COLUMN(Resource_Level)+1,4)),2,FALSE),LU_Level_Metrics,2,FALSE)</f>
        <v>0</v>
      </c>
      <c r="R4" s="72">
        <f t="shared" ref="R4" ca="1" si="6">0.5*O4</f>
        <v>0.35</v>
      </c>
      <c r="S4" s="72">
        <f t="shared" ref="S4" ca="1" si="7">O4</f>
        <v>0.7</v>
      </c>
      <c r="T4" s="72">
        <f t="shared" ref="T4:T23" ca="1" si="8">P4+0.25*O4</f>
        <v>1.575</v>
      </c>
      <c r="U4" s="72">
        <f t="shared" ref="U4" ca="1" si="9">0.45*O4</f>
        <v>0.315</v>
      </c>
      <c r="V4" s="72">
        <f t="shared" ref="V4" ca="1" si="10">0.1*P4</f>
        <v>0.13999999999999999</v>
      </c>
      <c r="W4" s="72">
        <f t="shared" ref="W4:W23" ca="1" si="11">0.9*O4+0.7*P4</f>
        <v>1.6099999999999999</v>
      </c>
      <c r="X4" s="72">
        <f t="shared" ref="X4" ca="1" si="12">O4+P4</f>
        <v>2.0999999999999996</v>
      </c>
      <c r="Y4" s="74">
        <f t="shared" ref="Y4" ca="1" si="13">S4+T4+V4</f>
        <v>2.415</v>
      </c>
      <c r="Z4" s="72">
        <f t="shared" ref="Z4" ca="1" si="14">U4+R4</f>
        <v>0.66500000000000004</v>
      </c>
      <c r="AA4" s="72">
        <f t="shared" ref="AA4" ca="1" si="15">S4+T4+V4+U4+R4</f>
        <v>3.08</v>
      </c>
      <c r="AB4" s="72" t="s">
        <v>53</v>
      </c>
      <c r="AC4" s="72">
        <f t="shared" ref="AC4" ca="1" si="16">IF(AB4="Y",AA4,0)</f>
        <v>3.08</v>
      </c>
      <c r="AD4" s="72" t="s">
        <v>54</v>
      </c>
      <c r="AE4" s="72">
        <f t="shared" ref="AE4" si="17">IF(AD4="Y",AA4,0)</f>
        <v>0</v>
      </c>
      <c r="AF4" s="59" t="s">
        <v>627</v>
      </c>
      <c r="AG4" s="59" t="s">
        <v>616</v>
      </c>
      <c r="AH4" s="75"/>
      <c r="AI4" s="59" t="s">
        <v>627</v>
      </c>
      <c r="AJ4" s="59" t="s">
        <v>616</v>
      </c>
      <c r="AK4" s="75"/>
      <c r="AL4" s="75"/>
      <c r="AM4" s="59" t="s">
        <v>619</v>
      </c>
      <c r="AN4" s="59" t="s">
        <v>55</v>
      </c>
      <c r="AO4" s="75"/>
      <c r="AP4" s="75"/>
      <c r="AQ4" s="59" t="s">
        <v>56</v>
      </c>
      <c r="AR4" s="59" t="s">
        <v>55</v>
      </c>
      <c r="AS4" s="75"/>
      <c r="AT4" s="75"/>
      <c r="AU4" s="59"/>
      <c r="AV4" s="59"/>
      <c r="AW4" s="44"/>
      <c r="AX4" s="59" t="s">
        <v>56</v>
      </c>
      <c r="AY4" s="59" t="s">
        <v>716</v>
      </c>
      <c r="AZ4" s="75"/>
      <c r="BA4" s="59"/>
      <c r="BB4" s="59"/>
      <c r="BC4" s="59"/>
      <c r="BD4" s="59"/>
      <c r="BE4" s="59"/>
      <c r="BF4" s="59"/>
      <c r="BG4" s="34" t="str">
        <f>E4&amp;"-"&amp;C4</f>
        <v>STIC-HR-001-岗位管理界面逻辑</v>
      </c>
      <c r="BH4" s="34">
        <f t="shared" ref="BH4:BH23" ca="1" si="18">ROUND(T4*0.6,2)</f>
        <v>0.95</v>
      </c>
    </row>
    <row r="5" spans="2:60" ht="27.45" customHeight="1" x14ac:dyDescent="0.25">
      <c r="B5" s="59" t="s">
        <v>628</v>
      </c>
      <c r="C5" s="59" t="s">
        <v>637</v>
      </c>
      <c r="D5" s="66" t="s">
        <v>681</v>
      </c>
      <c r="E5" s="66" t="s">
        <v>681</v>
      </c>
      <c r="F5" s="59"/>
      <c r="G5" s="67" t="s">
        <v>635</v>
      </c>
      <c r="H5" s="68"/>
      <c r="I5" s="59" t="s">
        <v>59</v>
      </c>
      <c r="J5" s="59" t="s">
        <v>48</v>
      </c>
      <c r="K5" s="71" t="s">
        <v>551</v>
      </c>
      <c r="L5" s="59" t="s">
        <v>50</v>
      </c>
      <c r="M5" s="59" t="s">
        <v>57</v>
      </c>
      <c r="N5" s="59" t="s">
        <v>52</v>
      </c>
      <c r="O5" s="72">
        <f ca="1">INDEX(Design_Days,VLOOKUP(M5,Index_Rows,2,FALSE),VLOOKUP(N5,Index_Cols,2,FALSE))/VLOOKUP(VLOOKUP(AY5,INDIRECT("Lookups!"&amp;ADDRESS(ROW(Resource_Level)+1,COLUMN(Resource_Level),4)&amp;":"&amp;ADDRESS(ROW(Resource_Level)+Resource_Rows,COLUMN(Resource_Level)+1,4)),2,FALSE),LU_Level_Metrics,2,FALSE)</f>
        <v>0.7</v>
      </c>
      <c r="P5" s="72">
        <f t="shared" ca="1" si="4"/>
        <v>1.4</v>
      </c>
      <c r="Q5" s="72">
        <f t="shared" ca="1" si="5"/>
        <v>0</v>
      </c>
      <c r="R5" s="72">
        <f t="shared" ref="R5" ca="1" si="19">0.5*O5</f>
        <v>0.35</v>
      </c>
      <c r="S5" s="72">
        <f t="shared" ref="S5" ca="1" si="20">O5</f>
        <v>0.7</v>
      </c>
      <c r="T5" s="72">
        <f ca="1">P5+0.25*O5</f>
        <v>1.575</v>
      </c>
      <c r="U5" s="72">
        <f t="shared" ref="U5" ca="1" si="21">0.45*O5</f>
        <v>0.315</v>
      </c>
      <c r="V5" s="72">
        <f t="shared" ref="V5" ca="1" si="22">0.1*P5</f>
        <v>0.13999999999999999</v>
      </c>
      <c r="W5" s="72">
        <f t="shared" ca="1" si="11"/>
        <v>1.6099999999999999</v>
      </c>
      <c r="X5" s="72">
        <f t="shared" ref="X5" ca="1" si="23">O5+P5</f>
        <v>2.0999999999999996</v>
      </c>
      <c r="Y5" s="74">
        <f t="shared" ref="Y5" ca="1" si="24">S5+T5+V5</f>
        <v>2.415</v>
      </c>
      <c r="Z5" s="72">
        <f t="shared" ref="Z5" ca="1" si="25">U5+R5</f>
        <v>0.66500000000000004</v>
      </c>
      <c r="AA5" s="72">
        <f t="shared" ref="AA5" ca="1" si="26">S5+T5+V5+U5+R5</f>
        <v>3.08</v>
      </c>
      <c r="AB5" s="72" t="s">
        <v>53</v>
      </c>
      <c r="AC5" s="72">
        <f t="shared" ref="AC5" ca="1" si="27">IF(AB5="Y",AA5,0)</f>
        <v>3.08</v>
      </c>
      <c r="AD5" s="72" t="s">
        <v>54</v>
      </c>
      <c r="AE5" s="72">
        <f t="shared" ref="AE5" si="28">IF(AD5="Y",AA5,0)</f>
        <v>0</v>
      </c>
      <c r="AF5" s="59" t="s">
        <v>627</v>
      </c>
      <c r="AG5" s="59" t="s">
        <v>616</v>
      </c>
      <c r="AH5" s="75"/>
      <c r="AI5" s="59" t="s">
        <v>627</v>
      </c>
      <c r="AJ5" s="59" t="s">
        <v>616</v>
      </c>
      <c r="AK5" s="75"/>
      <c r="AL5" s="75"/>
      <c r="AM5" s="59" t="s">
        <v>619</v>
      </c>
      <c r="AN5" s="59" t="s">
        <v>55</v>
      </c>
      <c r="AO5" s="75"/>
      <c r="AP5" s="75"/>
      <c r="AQ5" s="59" t="s">
        <v>56</v>
      </c>
      <c r="AR5" s="59" t="s">
        <v>55</v>
      </c>
      <c r="AS5" s="75"/>
      <c r="AT5" s="75"/>
      <c r="AU5" s="59"/>
      <c r="AV5" s="59"/>
      <c r="AW5" s="44"/>
      <c r="AX5" s="59" t="s">
        <v>56</v>
      </c>
      <c r="AY5" s="59" t="s">
        <v>718</v>
      </c>
      <c r="AZ5" s="75"/>
      <c r="BA5" s="59"/>
      <c r="BB5" s="59"/>
      <c r="BC5" s="59"/>
      <c r="BD5" s="59"/>
      <c r="BE5" s="59"/>
      <c r="BF5" s="59"/>
      <c r="BG5" s="34" t="str">
        <f t="shared" ref="BG5:BG23" si="29">E5&amp;"-"&amp;C5</f>
        <v>STIC-HR-002-岗位管理界面绘制</v>
      </c>
      <c r="BH5" s="34">
        <f ca="1">ROUND(T5*0.6,2)</f>
        <v>0.95</v>
      </c>
    </row>
    <row r="6" spans="2:60" ht="31.8" customHeight="1" x14ac:dyDescent="0.25">
      <c r="B6" s="59" t="s">
        <v>630</v>
      </c>
      <c r="C6" s="59" t="s">
        <v>636</v>
      </c>
      <c r="D6" s="66" t="s">
        <v>682</v>
      </c>
      <c r="E6" s="66" t="s">
        <v>682</v>
      </c>
      <c r="F6" s="59"/>
      <c r="G6" s="67" t="s">
        <v>638</v>
      </c>
      <c r="H6" s="68"/>
      <c r="I6" s="59" t="s">
        <v>59</v>
      </c>
      <c r="J6" s="59" t="s">
        <v>48</v>
      </c>
      <c r="K6" s="71" t="s">
        <v>551</v>
      </c>
      <c r="L6" s="59" t="s">
        <v>50</v>
      </c>
      <c r="M6" s="59" t="s">
        <v>57</v>
      </c>
      <c r="N6" s="59" t="s">
        <v>58</v>
      </c>
      <c r="O6" s="72">
        <f t="shared" ca="1" si="3"/>
        <v>2.4</v>
      </c>
      <c r="P6" s="72">
        <f t="shared" ca="1" si="4"/>
        <v>3.6</v>
      </c>
      <c r="Q6" s="72">
        <f t="shared" ca="1" si="5"/>
        <v>0</v>
      </c>
      <c r="R6" s="72">
        <f t="shared" ref="R6" ca="1" si="30">0.5*O6</f>
        <v>1.2</v>
      </c>
      <c r="S6" s="72">
        <f t="shared" ref="S6" ca="1" si="31">O6</f>
        <v>2.4</v>
      </c>
      <c r="T6" s="72">
        <f t="shared" ca="1" si="8"/>
        <v>4.2</v>
      </c>
      <c r="U6" s="72">
        <f t="shared" ref="U6" ca="1" si="32">0.45*O6</f>
        <v>1.08</v>
      </c>
      <c r="V6" s="72">
        <f t="shared" ref="V6" ca="1" si="33">0.1*P6</f>
        <v>0.36000000000000004</v>
      </c>
      <c r="W6" s="72">
        <f t="shared" ca="1" si="11"/>
        <v>4.68</v>
      </c>
      <c r="X6" s="72">
        <f t="shared" ref="X6" ca="1" si="34">O6+P6</f>
        <v>6</v>
      </c>
      <c r="Y6" s="74">
        <f t="shared" ref="Y6" ca="1" si="35">S6+T6+V6</f>
        <v>6.96</v>
      </c>
      <c r="Z6" s="72">
        <f t="shared" ref="Z6" ca="1" si="36">U6+R6</f>
        <v>2.2800000000000002</v>
      </c>
      <c r="AA6" s="72">
        <f t="shared" ref="AA6" ca="1" si="37">S6+T6+V6+U6+R6</f>
        <v>9.2399999999999984</v>
      </c>
      <c r="AB6" s="72" t="s">
        <v>53</v>
      </c>
      <c r="AC6" s="72">
        <f t="shared" ref="AC6" ca="1" si="38">IF(AB6="Y",AA6,0)</f>
        <v>9.2399999999999984</v>
      </c>
      <c r="AD6" s="72" t="s">
        <v>54</v>
      </c>
      <c r="AE6" s="72">
        <f t="shared" ref="AE6" si="39">IF(AD6="Y",AA6,0)</f>
        <v>0</v>
      </c>
      <c r="AF6" s="59" t="s">
        <v>627</v>
      </c>
      <c r="AG6" s="59" t="s">
        <v>616</v>
      </c>
      <c r="AH6" s="75"/>
      <c r="AI6" s="59" t="s">
        <v>627</v>
      </c>
      <c r="AJ6" s="59" t="s">
        <v>616</v>
      </c>
      <c r="AK6" s="75"/>
      <c r="AL6" s="75"/>
      <c r="AM6" s="59" t="s">
        <v>619</v>
      </c>
      <c r="AN6" s="59" t="s">
        <v>55</v>
      </c>
      <c r="AO6" s="75"/>
      <c r="AP6" s="75"/>
      <c r="AQ6" s="59" t="s">
        <v>56</v>
      </c>
      <c r="AR6" s="59" t="s">
        <v>55</v>
      </c>
      <c r="AS6" s="75"/>
      <c r="AT6" s="75"/>
      <c r="AU6" s="59"/>
      <c r="AV6" s="59"/>
      <c r="AW6" s="44"/>
      <c r="AX6" s="59" t="s">
        <v>56</v>
      </c>
      <c r="AY6" s="59" t="s">
        <v>716</v>
      </c>
      <c r="AZ6" s="75"/>
      <c r="BA6" s="59"/>
      <c r="BB6" s="59"/>
      <c r="BC6" s="59"/>
      <c r="BD6" s="59"/>
      <c r="BE6" s="59"/>
      <c r="BF6" s="59"/>
      <c r="BG6" s="34" t="str">
        <f t="shared" si="29"/>
        <v>STIC-HR-003-标签管理页面逻辑</v>
      </c>
      <c r="BH6" s="34">
        <f t="shared" ca="1" si="18"/>
        <v>2.52</v>
      </c>
    </row>
    <row r="7" spans="2:60" ht="27.6" customHeight="1" x14ac:dyDescent="0.25">
      <c r="B7" s="59" t="s">
        <v>628</v>
      </c>
      <c r="C7" s="59" t="s">
        <v>640</v>
      </c>
      <c r="D7" s="66" t="s">
        <v>683</v>
      </c>
      <c r="E7" s="66" t="s">
        <v>683</v>
      </c>
      <c r="F7" s="59"/>
      <c r="G7" s="67" t="s">
        <v>639</v>
      </c>
      <c r="H7" s="68"/>
      <c r="I7" s="59" t="s">
        <v>59</v>
      </c>
      <c r="J7" s="59" t="s">
        <v>48</v>
      </c>
      <c r="K7" s="71" t="s">
        <v>551</v>
      </c>
      <c r="L7" s="59" t="s">
        <v>50</v>
      </c>
      <c r="M7" s="59" t="s">
        <v>57</v>
      </c>
      <c r="N7" s="59" t="s">
        <v>58</v>
      </c>
      <c r="O7" s="72">
        <f t="shared" ca="1" si="3"/>
        <v>2.4</v>
      </c>
      <c r="P7" s="72">
        <f t="shared" ref="P7:P23" ca="1" si="40">INDEX(Build_Days,VLOOKUP(M7,Index_Rows,2,FALSE),VLOOKUP(N7,Index_Cols,2,FALSE))/VLOOKUP(VLOOKUP(AY7,INDIRECT("Lookups!"&amp;ADDRESS(ROW(Resource_Level)+1,COLUMN(Resource_Level),4)&amp;":"&amp;ADDRESS(ROW(Resource_Level)+Resource_Rows,COLUMN(Resource_Level)+1,4)),2,FALSE),LU_Level_Metrics,2,FALSE)</f>
        <v>3.6</v>
      </c>
      <c r="Q7" s="72">
        <f t="shared" ref="Q7:Q23" ca="1" si="41">IF(INDEX(Build_Days,VLOOKUP(M7,Index_Rows,2,FALSE),1)=1,(O7+P7)*0.2,0)/VLOOKUP(VLOOKUP(AY7,INDIRECT("Lookups!"&amp;ADDRESS(ROW(Resource_Level)+1,COLUMN(Resource_Level),4)&amp;":"&amp;ADDRESS(ROW(Resource_Level)+Resource_Rows,COLUMN(Resource_Level)+1,4)),2,FALSE),LU_Level_Metrics,2,FALSE)</f>
        <v>0</v>
      </c>
      <c r="R7" s="72">
        <f t="shared" ref="R7" ca="1" si="42">0.5*O7</f>
        <v>1.2</v>
      </c>
      <c r="S7" s="72">
        <f t="shared" ref="S7" ca="1" si="43">O7</f>
        <v>2.4</v>
      </c>
      <c r="T7" s="72">
        <f t="shared" ca="1" si="8"/>
        <v>4.2</v>
      </c>
      <c r="U7" s="72">
        <f t="shared" ref="U7" ca="1" si="44">0.45*O7</f>
        <v>1.08</v>
      </c>
      <c r="V7" s="72">
        <f t="shared" ref="V7" ca="1" si="45">0.1*P7</f>
        <v>0.36000000000000004</v>
      </c>
      <c r="W7" s="72">
        <f t="shared" ca="1" si="11"/>
        <v>4.68</v>
      </c>
      <c r="X7" s="72">
        <f t="shared" ref="X7" ca="1" si="46">O7+P7</f>
        <v>6</v>
      </c>
      <c r="Y7" s="74">
        <f t="shared" ref="Y7" ca="1" si="47">S7+T7+V7</f>
        <v>6.96</v>
      </c>
      <c r="Z7" s="72">
        <f t="shared" ref="Z7" ca="1" si="48">U7+R7</f>
        <v>2.2800000000000002</v>
      </c>
      <c r="AA7" s="72">
        <f t="shared" ref="AA7" ca="1" si="49">S7+T7+V7+U7+R7</f>
        <v>9.2399999999999984</v>
      </c>
      <c r="AB7" s="72" t="s">
        <v>53</v>
      </c>
      <c r="AC7" s="72">
        <f t="shared" ref="AC7" ca="1" si="50">IF(AB7="Y",AA7,0)</f>
        <v>9.2399999999999984</v>
      </c>
      <c r="AD7" s="72" t="s">
        <v>54</v>
      </c>
      <c r="AE7" s="72">
        <f t="shared" ref="AE7" si="51">IF(AD7="Y",AA7,0)</f>
        <v>0</v>
      </c>
      <c r="AF7" s="59" t="s">
        <v>627</v>
      </c>
      <c r="AG7" s="59" t="s">
        <v>616</v>
      </c>
      <c r="AH7" s="75"/>
      <c r="AI7" s="59" t="s">
        <v>627</v>
      </c>
      <c r="AJ7" s="59" t="s">
        <v>616</v>
      </c>
      <c r="AK7" s="75"/>
      <c r="AL7" s="75"/>
      <c r="AM7" s="59" t="s">
        <v>619</v>
      </c>
      <c r="AN7" s="59" t="s">
        <v>55</v>
      </c>
      <c r="AO7" s="75"/>
      <c r="AP7" s="75"/>
      <c r="AQ7" s="59" t="s">
        <v>56</v>
      </c>
      <c r="AR7" s="59" t="s">
        <v>55</v>
      </c>
      <c r="AS7" s="75"/>
      <c r="AT7" s="75"/>
      <c r="AU7" s="59"/>
      <c r="AV7" s="59"/>
      <c r="AW7" s="44"/>
      <c r="AX7" s="59" t="s">
        <v>56</v>
      </c>
      <c r="AY7" s="59" t="s">
        <v>718</v>
      </c>
      <c r="AZ7" s="75"/>
      <c r="BA7" s="59"/>
      <c r="BB7" s="59"/>
      <c r="BC7" s="59"/>
      <c r="BD7" s="59"/>
      <c r="BE7" s="59"/>
      <c r="BF7" s="59"/>
      <c r="BG7" s="34" t="str">
        <f t="shared" si="29"/>
        <v>STIC-HR-004-标签管理页面绘制</v>
      </c>
      <c r="BH7" s="34">
        <f t="shared" ca="1" si="18"/>
        <v>2.52</v>
      </c>
    </row>
    <row r="8" spans="2:60" ht="25.2" customHeight="1" x14ac:dyDescent="0.25">
      <c r="B8" s="59" t="s">
        <v>630</v>
      </c>
      <c r="C8" s="59" t="s">
        <v>641</v>
      </c>
      <c r="D8" s="66" t="s">
        <v>684</v>
      </c>
      <c r="E8" s="66" t="s">
        <v>684</v>
      </c>
      <c r="F8" s="59"/>
      <c r="G8" s="67" t="s">
        <v>642</v>
      </c>
      <c r="H8" s="68"/>
      <c r="I8" s="59" t="s">
        <v>59</v>
      </c>
      <c r="J8" s="59" t="s">
        <v>48</v>
      </c>
      <c r="K8" s="71" t="s">
        <v>551</v>
      </c>
      <c r="L8" s="59" t="s">
        <v>50</v>
      </c>
      <c r="M8" s="59" t="s">
        <v>57</v>
      </c>
      <c r="N8" s="59" t="s">
        <v>58</v>
      </c>
      <c r="O8" s="72">
        <f t="shared" ca="1" si="3"/>
        <v>3.1999999999999997</v>
      </c>
      <c r="P8" s="72">
        <f t="shared" ca="1" si="40"/>
        <v>4.8</v>
      </c>
      <c r="Q8" s="72">
        <f t="shared" ca="1" si="41"/>
        <v>0</v>
      </c>
      <c r="R8" s="72">
        <f t="shared" ref="R8:R23" ca="1" si="52">0.5*O8</f>
        <v>1.5999999999999999</v>
      </c>
      <c r="S8" s="72">
        <f t="shared" ref="S8:S23" ca="1" si="53">O8</f>
        <v>3.1999999999999997</v>
      </c>
      <c r="T8" s="72">
        <f t="shared" ca="1" si="8"/>
        <v>5.6</v>
      </c>
      <c r="U8" s="72">
        <f t="shared" ref="U8:U23" ca="1" si="54">0.45*O8</f>
        <v>1.44</v>
      </c>
      <c r="V8" s="72">
        <f t="shared" ref="V8:V23" ca="1" si="55">0.1*P8</f>
        <v>0.48</v>
      </c>
      <c r="W8" s="72">
        <f t="shared" ca="1" si="11"/>
        <v>6.24</v>
      </c>
      <c r="X8" s="72">
        <f t="shared" ref="X8:X23" ca="1" si="56">O8+P8</f>
        <v>8</v>
      </c>
      <c r="Y8" s="74">
        <f t="shared" ref="Y8:Y23" ca="1" si="57">S8+T8+V8</f>
        <v>9.2799999999999994</v>
      </c>
      <c r="Z8" s="72">
        <f t="shared" ref="Z8:Z23" ca="1" si="58">U8+R8</f>
        <v>3.04</v>
      </c>
      <c r="AA8" s="72">
        <f t="shared" ref="AA8:AA23" ca="1" si="59">S8+T8+V8+U8+R8</f>
        <v>12.319999999999999</v>
      </c>
      <c r="AB8" s="72" t="s">
        <v>53</v>
      </c>
      <c r="AC8" s="72">
        <f t="shared" ref="AC8:AC23" ca="1" si="60">IF(AB8="Y",AA8,0)</f>
        <v>12.319999999999999</v>
      </c>
      <c r="AD8" s="72" t="s">
        <v>54</v>
      </c>
      <c r="AE8" s="72">
        <f t="shared" ref="AE8:AE23" si="61">IF(AD8="Y",AA8,0)</f>
        <v>0</v>
      </c>
      <c r="AF8" s="59" t="s">
        <v>627</v>
      </c>
      <c r="AG8" s="59" t="s">
        <v>616</v>
      </c>
      <c r="AH8" s="75"/>
      <c r="AI8" s="59" t="s">
        <v>627</v>
      </c>
      <c r="AJ8" s="59" t="s">
        <v>616</v>
      </c>
      <c r="AK8" s="75"/>
      <c r="AL8" s="75"/>
      <c r="AM8" s="59" t="s">
        <v>619</v>
      </c>
      <c r="AN8" s="59" t="s">
        <v>55</v>
      </c>
      <c r="AO8" s="75"/>
      <c r="AP8" s="75"/>
      <c r="AQ8" s="59" t="s">
        <v>56</v>
      </c>
      <c r="AR8" s="59" t="s">
        <v>55</v>
      </c>
      <c r="AS8" s="75"/>
      <c r="AT8" s="75"/>
      <c r="AU8" s="59"/>
      <c r="AV8" s="59"/>
      <c r="AW8" s="44"/>
      <c r="AX8" s="59" t="s">
        <v>56</v>
      </c>
      <c r="AY8" s="59" t="s">
        <v>621</v>
      </c>
      <c r="AZ8" s="75"/>
      <c r="BA8" s="59"/>
      <c r="BB8" s="59"/>
      <c r="BC8" s="59"/>
      <c r="BD8" s="59"/>
      <c r="BE8" s="59"/>
      <c r="BF8" s="59"/>
      <c r="BG8" s="34" t="str">
        <f t="shared" si="29"/>
        <v>STIC-HR-005-环境数据库梳理</v>
      </c>
      <c r="BH8" s="34">
        <f t="shared" ca="1" si="18"/>
        <v>3.36</v>
      </c>
    </row>
    <row r="9" spans="2:60" ht="28.2" customHeight="1" x14ac:dyDescent="0.25">
      <c r="B9" s="59" t="s">
        <v>628</v>
      </c>
      <c r="C9" s="59" t="s">
        <v>643</v>
      </c>
      <c r="D9" s="66" t="s">
        <v>685</v>
      </c>
      <c r="E9" s="66" t="s">
        <v>685</v>
      </c>
      <c r="F9" s="59"/>
      <c r="G9" s="67" t="s">
        <v>644</v>
      </c>
      <c r="H9" s="68" t="s">
        <v>645</v>
      </c>
      <c r="I9" s="59" t="s">
        <v>59</v>
      </c>
      <c r="J9" s="59" t="s">
        <v>48</v>
      </c>
      <c r="K9" s="71" t="s">
        <v>551</v>
      </c>
      <c r="L9" s="59" t="s">
        <v>50</v>
      </c>
      <c r="M9" s="59" t="s">
        <v>57</v>
      </c>
      <c r="N9" s="59" t="s">
        <v>60</v>
      </c>
      <c r="O9" s="72">
        <f t="shared" ca="1" si="3"/>
        <v>3.6</v>
      </c>
      <c r="P9" s="72">
        <f t="shared" ca="1" si="40"/>
        <v>7.2</v>
      </c>
      <c r="Q9" s="72">
        <f t="shared" ca="1" si="41"/>
        <v>0</v>
      </c>
      <c r="R9" s="72">
        <f t="shared" ca="1" si="52"/>
        <v>1.8</v>
      </c>
      <c r="S9" s="72">
        <f t="shared" ca="1" si="53"/>
        <v>3.6</v>
      </c>
      <c r="T9" s="72">
        <f t="shared" ca="1" si="8"/>
        <v>8.1</v>
      </c>
      <c r="U9" s="72">
        <f t="shared" ca="1" si="54"/>
        <v>1.62</v>
      </c>
      <c r="V9" s="72">
        <f t="shared" ca="1" si="55"/>
        <v>0.72000000000000008</v>
      </c>
      <c r="W9" s="72">
        <f t="shared" ca="1" si="11"/>
        <v>8.2800000000000011</v>
      </c>
      <c r="X9" s="72">
        <f t="shared" ca="1" si="56"/>
        <v>10.8</v>
      </c>
      <c r="Y9" s="74">
        <f t="shared" ca="1" si="57"/>
        <v>12.42</v>
      </c>
      <c r="Z9" s="72">
        <f t="shared" ca="1" si="58"/>
        <v>3.42</v>
      </c>
      <c r="AA9" s="72">
        <f t="shared" ca="1" si="59"/>
        <v>15.84</v>
      </c>
      <c r="AB9" s="72" t="s">
        <v>53</v>
      </c>
      <c r="AC9" s="72">
        <f t="shared" ca="1" si="60"/>
        <v>15.84</v>
      </c>
      <c r="AD9" s="72" t="s">
        <v>54</v>
      </c>
      <c r="AE9" s="72">
        <f t="shared" si="61"/>
        <v>0</v>
      </c>
      <c r="AF9" s="59" t="s">
        <v>627</v>
      </c>
      <c r="AG9" s="59" t="s">
        <v>616</v>
      </c>
      <c r="AH9" s="75"/>
      <c r="AI9" s="59" t="s">
        <v>627</v>
      </c>
      <c r="AJ9" s="59" t="s">
        <v>616</v>
      </c>
      <c r="AK9" s="75"/>
      <c r="AL9" s="75"/>
      <c r="AM9" s="59" t="s">
        <v>619</v>
      </c>
      <c r="AN9" s="59" t="s">
        <v>55</v>
      </c>
      <c r="AO9" s="75"/>
      <c r="AP9" s="75"/>
      <c r="AQ9" s="59"/>
      <c r="AR9" s="59"/>
      <c r="AS9" s="75"/>
      <c r="AT9" s="75"/>
      <c r="AU9" s="59"/>
      <c r="AV9" s="59"/>
      <c r="AW9" s="44"/>
      <c r="AX9" s="59" t="s">
        <v>56</v>
      </c>
      <c r="AY9" s="59" t="s">
        <v>718</v>
      </c>
      <c r="AZ9" s="75"/>
      <c r="BA9" s="59"/>
      <c r="BB9" s="59"/>
      <c r="BC9" s="59"/>
      <c r="BD9" s="59"/>
      <c r="BE9" s="59"/>
      <c r="BF9" s="59"/>
      <c r="BG9" s="34" t="str">
        <f t="shared" si="29"/>
        <v>STIC-HR-006-简历上传页面绘制</v>
      </c>
      <c r="BH9" s="34">
        <f t="shared" ca="1" si="18"/>
        <v>4.8600000000000003</v>
      </c>
    </row>
    <row r="10" spans="2:60" ht="28.2" customHeight="1" x14ac:dyDescent="0.25">
      <c r="B10" s="59" t="s">
        <v>630</v>
      </c>
      <c r="C10" s="59" t="s">
        <v>646</v>
      </c>
      <c r="D10" s="66" t="s">
        <v>686</v>
      </c>
      <c r="E10" s="66" t="s">
        <v>686</v>
      </c>
      <c r="F10" s="59"/>
      <c r="G10" s="67" t="s">
        <v>647</v>
      </c>
      <c r="H10" s="68" t="s">
        <v>652</v>
      </c>
      <c r="I10" s="59" t="s">
        <v>59</v>
      </c>
      <c r="J10" s="59" t="s">
        <v>48</v>
      </c>
      <c r="K10" s="71" t="s">
        <v>551</v>
      </c>
      <c r="L10" s="59" t="s">
        <v>50</v>
      </c>
      <c r="M10" s="59" t="s">
        <v>57</v>
      </c>
      <c r="N10" s="59" t="s">
        <v>60</v>
      </c>
      <c r="O10" s="72">
        <f t="shared" ca="1" si="3"/>
        <v>3.6</v>
      </c>
      <c r="P10" s="72">
        <f t="shared" ca="1" si="40"/>
        <v>7.2</v>
      </c>
      <c r="Q10" s="72">
        <f t="shared" ca="1" si="41"/>
        <v>0</v>
      </c>
      <c r="R10" s="72">
        <f t="shared" ca="1" si="52"/>
        <v>1.8</v>
      </c>
      <c r="S10" s="72">
        <f t="shared" ca="1" si="53"/>
        <v>3.6</v>
      </c>
      <c r="T10" s="72">
        <f t="shared" ca="1" si="8"/>
        <v>8.1</v>
      </c>
      <c r="U10" s="72">
        <f t="shared" ca="1" si="54"/>
        <v>1.62</v>
      </c>
      <c r="V10" s="72">
        <f t="shared" ca="1" si="55"/>
        <v>0.72000000000000008</v>
      </c>
      <c r="W10" s="72">
        <f t="shared" ca="1" si="11"/>
        <v>8.2800000000000011</v>
      </c>
      <c r="X10" s="72">
        <f t="shared" ca="1" si="56"/>
        <v>10.8</v>
      </c>
      <c r="Y10" s="74">
        <f t="shared" ca="1" si="57"/>
        <v>12.42</v>
      </c>
      <c r="Z10" s="72">
        <f t="shared" ca="1" si="58"/>
        <v>3.42</v>
      </c>
      <c r="AA10" s="72">
        <f t="shared" ca="1" si="59"/>
        <v>15.84</v>
      </c>
      <c r="AB10" s="72" t="s">
        <v>53</v>
      </c>
      <c r="AC10" s="72">
        <f t="shared" ca="1" si="60"/>
        <v>15.84</v>
      </c>
      <c r="AD10" s="72" t="s">
        <v>54</v>
      </c>
      <c r="AE10" s="72">
        <f t="shared" si="61"/>
        <v>0</v>
      </c>
      <c r="AF10" s="59" t="s">
        <v>627</v>
      </c>
      <c r="AG10" s="59" t="s">
        <v>616</v>
      </c>
      <c r="AH10" s="75"/>
      <c r="AI10" s="59" t="s">
        <v>627</v>
      </c>
      <c r="AJ10" s="59" t="s">
        <v>616</v>
      </c>
      <c r="AK10" s="75"/>
      <c r="AL10" s="75"/>
      <c r="AM10" s="59" t="s">
        <v>619</v>
      </c>
      <c r="AN10" s="59" t="s">
        <v>55</v>
      </c>
      <c r="AO10" s="75"/>
      <c r="AP10" s="75"/>
      <c r="AQ10" s="59"/>
      <c r="AR10" s="59"/>
      <c r="AS10" s="75"/>
      <c r="AT10" s="75"/>
      <c r="AU10" s="59"/>
      <c r="AV10" s="59"/>
      <c r="AW10" s="44"/>
      <c r="AX10" s="59" t="s">
        <v>56</v>
      </c>
      <c r="AY10" s="59" t="s">
        <v>716</v>
      </c>
      <c r="AZ10" s="75"/>
      <c r="BA10" s="59"/>
      <c r="BB10" s="59"/>
      <c r="BC10" s="59"/>
      <c r="BD10" s="59"/>
      <c r="BE10" s="59"/>
      <c r="BF10" s="59"/>
      <c r="BG10" s="34" t="str">
        <f t="shared" si="29"/>
        <v>STIC-HR-007-简历上传接口</v>
      </c>
      <c r="BH10" s="34">
        <f t="shared" ca="1" si="18"/>
        <v>4.8600000000000003</v>
      </c>
    </row>
    <row r="11" spans="2:60" ht="28.2" customHeight="1" x14ac:dyDescent="0.25">
      <c r="B11" s="59" t="s">
        <v>630</v>
      </c>
      <c r="C11" s="59" t="s">
        <v>673</v>
      </c>
      <c r="D11" s="66" t="s">
        <v>687</v>
      </c>
      <c r="E11" s="66" t="s">
        <v>687</v>
      </c>
      <c r="F11" s="59"/>
      <c r="G11" s="67" t="s">
        <v>648</v>
      </c>
      <c r="H11" s="68" t="s">
        <v>649</v>
      </c>
      <c r="I11" s="59" t="s">
        <v>59</v>
      </c>
      <c r="J11" s="59" t="s">
        <v>48</v>
      </c>
      <c r="K11" s="71" t="s">
        <v>551</v>
      </c>
      <c r="L11" s="59" t="s">
        <v>50</v>
      </c>
      <c r="M11" s="59" t="s">
        <v>57</v>
      </c>
      <c r="N11" s="59" t="s">
        <v>58</v>
      </c>
      <c r="O11" s="72">
        <f t="shared" ca="1" si="3"/>
        <v>2.4</v>
      </c>
      <c r="P11" s="72">
        <f t="shared" ca="1" si="40"/>
        <v>3.6</v>
      </c>
      <c r="Q11" s="72">
        <f t="shared" ca="1" si="41"/>
        <v>0</v>
      </c>
      <c r="R11" s="72">
        <f t="shared" ca="1" si="52"/>
        <v>1.2</v>
      </c>
      <c r="S11" s="72">
        <f t="shared" ca="1" si="53"/>
        <v>2.4</v>
      </c>
      <c r="T11" s="72">
        <f t="shared" ca="1" si="8"/>
        <v>4.2</v>
      </c>
      <c r="U11" s="72">
        <f t="shared" ca="1" si="54"/>
        <v>1.08</v>
      </c>
      <c r="V11" s="72">
        <f t="shared" ca="1" si="55"/>
        <v>0.36000000000000004</v>
      </c>
      <c r="W11" s="72">
        <f t="shared" ca="1" si="11"/>
        <v>4.68</v>
      </c>
      <c r="X11" s="72">
        <f t="shared" ca="1" si="56"/>
        <v>6</v>
      </c>
      <c r="Y11" s="74">
        <f t="shared" ca="1" si="57"/>
        <v>6.96</v>
      </c>
      <c r="Z11" s="72">
        <f t="shared" ca="1" si="58"/>
        <v>2.2800000000000002</v>
      </c>
      <c r="AA11" s="72">
        <f t="shared" ca="1" si="59"/>
        <v>9.2399999999999984</v>
      </c>
      <c r="AB11" s="72" t="s">
        <v>53</v>
      </c>
      <c r="AC11" s="72">
        <f t="shared" ca="1" si="60"/>
        <v>9.2399999999999984</v>
      </c>
      <c r="AD11" s="72" t="s">
        <v>54</v>
      </c>
      <c r="AE11" s="72">
        <f t="shared" si="61"/>
        <v>0</v>
      </c>
      <c r="AF11" s="59" t="s">
        <v>627</v>
      </c>
      <c r="AG11" s="59" t="s">
        <v>616</v>
      </c>
      <c r="AH11" s="75"/>
      <c r="AI11" s="59" t="s">
        <v>627</v>
      </c>
      <c r="AJ11" s="59" t="s">
        <v>616</v>
      </c>
      <c r="AK11" s="75"/>
      <c r="AL11" s="75"/>
      <c r="AM11" s="59" t="s">
        <v>619</v>
      </c>
      <c r="AN11" s="59" t="s">
        <v>55</v>
      </c>
      <c r="AO11" s="75"/>
      <c r="AP11" s="75"/>
      <c r="AQ11" s="59"/>
      <c r="AR11" s="59"/>
      <c r="AS11" s="75"/>
      <c r="AT11" s="75"/>
      <c r="AU11" s="59"/>
      <c r="AV11" s="59"/>
      <c r="AW11" s="44"/>
      <c r="AX11" s="59" t="s">
        <v>56</v>
      </c>
      <c r="AY11" s="59" t="s">
        <v>716</v>
      </c>
      <c r="AZ11" s="75"/>
      <c r="BA11" s="59"/>
      <c r="BB11" s="59"/>
      <c r="BC11" s="59"/>
      <c r="BD11" s="59"/>
      <c r="BE11" s="59"/>
      <c r="BF11" s="59"/>
      <c r="BG11" s="34" t="str">
        <f t="shared" si="29"/>
        <v>STIC-HR-008-简历详情查询接口</v>
      </c>
      <c r="BH11" s="34">
        <f t="shared" ca="1" si="18"/>
        <v>2.52</v>
      </c>
    </row>
    <row r="12" spans="2:60" ht="28.2" customHeight="1" x14ac:dyDescent="0.25">
      <c r="B12" s="59" t="s">
        <v>623</v>
      </c>
      <c r="C12" s="59" t="s">
        <v>650</v>
      </c>
      <c r="D12" s="66" t="s">
        <v>688</v>
      </c>
      <c r="E12" s="66" t="s">
        <v>688</v>
      </c>
      <c r="F12" s="59"/>
      <c r="G12" s="67" t="s">
        <v>651</v>
      </c>
      <c r="H12" s="68" t="s">
        <v>653</v>
      </c>
      <c r="I12" s="59" t="s">
        <v>59</v>
      </c>
      <c r="J12" s="59" t="s">
        <v>48</v>
      </c>
      <c r="K12" s="71" t="s">
        <v>551</v>
      </c>
      <c r="L12" s="59" t="s">
        <v>50</v>
      </c>
      <c r="M12" s="59" t="s">
        <v>57</v>
      </c>
      <c r="N12" s="59" t="s">
        <v>60</v>
      </c>
      <c r="O12" s="72">
        <f t="shared" ca="1" si="3"/>
        <v>3.6</v>
      </c>
      <c r="P12" s="72">
        <f t="shared" ca="1" si="40"/>
        <v>7.2</v>
      </c>
      <c r="Q12" s="72">
        <f t="shared" ca="1" si="41"/>
        <v>0</v>
      </c>
      <c r="R12" s="72">
        <f t="shared" ca="1" si="52"/>
        <v>1.8</v>
      </c>
      <c r="S12" s="72">
        <f t="shared" ca="1" si="53"/>
        <v>3.6</v>
      </c>
      <c r="T12" s="72">
        <f t="shared" ca="1" si="8"/>
        <v>8.1</v>
      </c>
      <c r="U12" s="72">
        <f t="shared" ca="1" si="54"/>
        <v>1.62</v>
      </c>
      <c r="V12" s="72">
        <f t="shared" ca="1" si="55"/>
        <v>0.72000000000000008</v>
      </c>
      <c r="W12" s="72">
        <f t="shared" ca="1" si="11"/>
        <v>8.2800000000000011</v>
      </c>
      <c r="X12" s="72">
        <f t="shared" ca="1" si="56"/>
        <v>10.8</v>
      </c>
      <c r="Y12" s="74">
        <f t="shared" ca="1" si="57"/>
        <v>12.42</v>
      </c>
      <c r="Z12" s="72">
        <f t="shared" ca="1" si="58"/>
        <v>3.42</v>
      </c>
      <c r="AA12" s="72">
        <f t="shared" ca="1" si="59"/>
        <v>15.84</v>
      </c>
      <c r="AB12" s="72" t="s">
        <v>53</v>
      </c>
      <c r="AC12" s="72">
        <f t="shared" ca="1" si="60"/>
        <v>15.84</v>
      </c>
      <c r="AD12" s="72" t="s">
        <v>54</v>
      </c>
      <c r="AE12" s="72">
        <f t="shared" si="61"/>
        <v>0</v>
      </c>
      <c r="AF12" s="59" t="s">
        <v>627</v>
      </c>
      <c r="AG12" s="59" t="s">
        <v>616</v>
      </c>
      <c r="AH12" s="75"/>
      <c r="AI12" s="59" t="s">
        <v>627</v>
      </c>
      <c r="AJ12" s="59" t="s">
        <v>616</v>
      </c>
      <c r="AK12" s="75"/>
      <c r="AL12" s="75"/>
      <c r="AM12" s="59" t="s">
        <v>619</v>
      </c>
      <c r="AN12" s="59" t="s">
        <v>55</v>
      </c>
      <c r="AO12" s="75"/>
      <c r="AP12" s="75"/>
      <c r="AQ12" s="59"/>
      <c r="AR12" s="59"/>
      <c r="AS12" s="75"/>
      <c r="AT12" s="75"/>
      <c r="AU12" s="59"/>
      <c r="AV12" s="59"/>
      <c r="AW12" s="44"/>
      <c r="AX12" s="59" t="s">
        <v>56</v>
      </c>
      <c r="AY12" s="59" t="s">
        <v>716</v>
      </c>
      <c r="AZ12" s="75"/>
      <c r="BA12" s="59"/>
      <c r="BB12" s="59"/>
      <c r="BC12" s="59"/>
      <c r="BD12" s="59"/>
      <c r="BE12" s="59"/>
      <c r="BF12" s="59"/>
      <c r="BG12" s="34" t="str">
        <f t="shared" si="29"/>
        <v>STIC-HR-009-简历读取AIGC编排</v>
      </c>
      <c r="BH12" s="34">
        <f t="shared" ca="1" si="18"/>
        <v>4.8600000000000003</v>
      </c>
    </row>
    <row r="13" spans="2:60" ht="28.2" customHeight="1" x14ac:dyDescent="0.25">
      <c r="B13" s="59" t="s">
        <v>628</v>
      </c>
      <c r="C13" s="59" t="s">
        <v>654</v>
      </c>
      <c r="D13" s="66" t="s">
        <v>689</v>
      </c>
      <c r="E13" s="66" t="s">
        <v>689</v>
      </c>
      <c r="F13" s="59"/>
      <c r="G13" s="67" t="s">
        <v>655</v>
      </c>
      <c r="H13" s="68" t="s">
        <v>656</v>
      </c>
      <c r="I13" s="59" t="s">
        <v>59</v>
      </c>
      <c r="J13" s="59" t="s">
        <v>48</v>
      </c>
      <c r="K13" s="71" t="s">
        <v>551</v>
      </c>
      <c r="L13" s="59" t="s">
        <v>50</v>
      </c>
      <c r="M13" s="59" t="s">
        <v>57</v>
      </c>
      <c r="N13" s="59" t="s">
        <v>60</v>
      </c>
      <c r="O13" s="72">
        <f t="shared" ca="1" si="3"/>
        <v>3.6</v>
      </c>
      <c r="P13" s="72">
        <f t="shared" ca="1" si="40"/>
        <v>7.2</v>
      </c>
      <c r="Q13" s="72">
        <f t="shared" ca="1" si="41"/>
        <v>0</v>
      </c>
      <c r="R13" s="72">
        <f t="shared" ca="1" si="52"/>
        <v>1.8</v>
      </c>
      <c r="S13" s="72">
        <f t="shared" ca="1" si="53"/>
        <v>3.6</v>
      </c>
      <c r="T13" s="72">
        <f t="shared" ca="1" si="8"/>
        <v>8.1</v>
      </c>
      <c r="U13" s="72">
        <f t="shared" ca="1" si="54"/>
        <v>1.62</v>
      </c>
      <c r="V13" s="72">
        <f t="shared" ca="1" si="55"/>
        <v>0.72000000000000008</v>
      </c>
      <c r="W13" s="72">
        <f t="shared" ca="1" si="11"/>
        <v>8.2800000000000011</v>
      </c>
      <c r="X13" s="72">
        <f t="shared" ca="1" si="56"/>
        <v>10.8</v>
      </c>
      <c r="Y13" s="74">
        <f t="shared" ca="1" si="57"/>
        <v>12.42</v>
      </c>
      <c r="Z13" s="72">
        <f t="shared" ca="1" si="58"/>
        <v>3.42</v>
      </c>
      <c r="AA13" s="72">
        <f t="shared" ca="1" si="59"/>
        <v>15.84</v>
      </c>
      <c r="AB13" s="72" t="s">
        <v>53</v>
      </c>
      <c r="AC13" s="72">
        <f t="shared" ca="1" si="60"/>
        <v>15.84</v>
      </c>
      <c r="AD13" s="72" t="s">
        <v>54</v>
      </c>
      <c r="AE13" s="72">
        <f t="shared" si="61"/>
        <v>0</v>
      </c>
      <c r="AF13" s="59" t="s">
        <v>627</v>
      </c>
      <c r="AG13" s="59" t="s">
        <v>616</v>
      </c>
      <c r="AH13" s="75"/>
      <c r="AI13" s="59" t="s">
        <v>627</v>
      </c>
      <c r="AJ13" s="59" t="s">
        <v>616</v>
      </c>
      <c r="AK13" s="75"/>
      <c r="AL13" s="75"/>
      <c r="AM13" s="59" t="s">
        <v>619</v>
      </c>
      <c r="AN13" s="59" t="s">
        <v>55</v>
      </c>
      <c r="AO13" s="75"/>
      <c r="AP13" s="75"/>
      <c r="AQ13" s="59"/>
      <c r="AR13" s="59"/>
      <c r="AS13" s="75"/>
      <c r="AT13" s="75"/>
      <c r="AU13" s="59"/>
      <c r="AV13" s="59"/>
      <c r="AW13" s="44"/>
      <c r="AX13" s="59" t="s">
        <v>56</v>
      </c>
      <c r="AY13" s="59" t="s">
        <v>718</v>
      </c>
      <c r="AZ13" s="75"/>
      <c r="BA13" s="59"/>
      <c r="BB13" s="59"/>
      <c r="BC13" s="59"/>
      <c r="BD13" s="59"/>
      <c r="BE13" s="59"/>
      <c r="BF13" s="59"/>
      <c r="BG13" s="34" t="str">
        <f t="shared" si="29"/>
        <v>STIC-HR-010-人岗匹配界面绘制</v>
      </c>
      <c r="BH13" s="34">
        <f t="shared" ca="1" si="18"/>
        <v>4.8600000000000003</v>
      </c>
    </row>
    <row r="14" spans="2:60" ht="28.2" customHeight="1" x14ac:dyDescent="0.25">
      <c r="B14" s="59" t="s">
        <v>628</v>
      </c>
      <c r="C14" s="59" t="s">
        <v>657</v>
      </c>
      <c r="D14" s="66" t="s">
        <v>690</v>
      </c>
      <c r="E14" s="66" t="s">
        <v>690</v>
      </c>
      <c r="F14" s="59"/>
      <c r="G14" s="67" t="s">
        <v>658</v>
      </c>
      <c r="H14" s="68" t="s">
        <v>659</v>
      </c>
      <c r="I14" s="59" t="s">
        <v>59</v>
      </c>
      <c r="J14" s="59" t="s">
        <v>48</v>
      </c>
      <c r="K14" s="71" t="s">
        <v>551</v>
      </c>
      <c r="L14" s="59" t="s">
        <v>50</v>
      </c>
      <c r="M14" s="59" t="s">
        <v>57</v>
      </c>
      <c r="N14" s="59" t="s">
        <v>58</v>
      </c>
      <c r="O14" s="72">
        <f t="shared" ca="1" si="3"/>
        <v>2.4</v>
      </c>
      <c r="P14" s="72">
        <f t="shared" ca="1" si="40"/>
        <v>3.6</v>
      </c>
      <c r="Q14" s="72">
        <f t="shared" ca="1" si="41"/>
        <v>0</v>
      </c>
      <c r="R14" s="72">
        <f t="shared" ca="1" si="52"/>
        <v>1.2</v>
      </c>
      <c r="S14" s="72">
        <f t="shared" ca="1" si="53"/>
        <v>2.4</v>
      </c>
      <c r="T14" s="72">
        <f t="shared" ca="1" si="8"/>
        <v>4.2</v>
      </c>
      <c r="U14" s="72">
        <f t="shared" ca="1" si="54"/>
        <v>1.08</v>
      </c>
      <c r="V14" s="72">
        <f t="shared" ca="1" si="55"/>
        <v>0.36000000000000004</v>
      </c>
      <c r="W14" s="72">
        <f t="shared" ca="1" si="11"/>
        <v>4.68</v>
      </c>
      <c r="X14" s="72">
        <f t="shared" ca="1" si="56"/>
        <v>6</v>
      </c>
      <c r="Y14" s="74">
        <f t="shared" ca="1" si="57"/>
        <v>6.96</v>
      </c>
      <c r="Z14" s="72">
        <f t="shared" ca="1" si="58"/>
        <v>2.2800000000000002</v>
      </c>
      <c r="AA14" s="72">
        <f t="shared" ca="1" si="59"/>
        <v>9.2399999999999984</v>
      </c>
      <c r="AB14" s="72" t="s">
        <v>53</v>
      </c>
      <c r="AC14" s="72">
        <f t="shared" ca="1" si="60"/>
        <v>9.2399999999999984</v>
      </c>
      <c r="AD14" s="72" t="s">
        <v>54</v>
      </c>
      <c r="AE14" s="72">
        <f t="shared" si="61"/>
        <v>0</v>
      </c>
      <c r="AF14" s="59" t="s">
        <v>627</v>
      </c>
      <c r="AG14" s="59" t="s">
        <v>616</v>
      </c>
      <c r="AH14" s="75"/>
      <c r="AI14" s="59" t="s">
        <v>627</v>
      </c>
      <c r="AJ14" s="59" t="s">
        <v>616</v>
      </c>
      <c r="AK14" s="75"/>
      <c r="AL14" s="75"/>
      <c r="AM14" s="59" t="s">
        <v>619</v>
      </c>
      <c r="AN14" s="59" t="s">
        <v>55</v>
      </c>
      <c r="AO14" s="75"/>
      <c r="AP14" s="75"/>
      <c r="AQ14" s="59"/>
      <c r="AR14" s="59"/>
      <c r="AS14" s="75"/>
      <c r="AT14" s="75"/>
      <c r="AU14" s="59"/>
      <c r="AV14" s="59"/>
      <c r="AW14" s="44"/>
      <c r="AX14" s="59" t="s">
        <v>56</v>
      </c>
      <c r="AY14" s="59" t="s">
        <v>718</v>
      </c>
      <c r="AZ14" s="75"/>
      <c r="BA14" s="59"/>
      <c r="BB14" s="59"/>
      <c r="BC14" s="59"/>
      <c r="BD14" s="59"/>
      <c r="BE14" s="59"/>
      <c r="BF14" s="59"/>
      <c r="BG14" s="34" t="str">
        <f t="shared" si="29"/>
        <v>STIC-HR-011-简历详情展示界面</v>
      </c>
      <c r="BH14" s="34">
        <f t="shared" ca="1" si="18"/>
        <v>2.52</v>
      </c>
    </row>
    <row r="15" spans="2:60" ht="28.2" customHeight="1" x14ac:dyDescent="0.25">
      <c r="B15" s="59" t="s">
        <v>630</v>
      </c>
      <c r="C15" s="59" t="s">
        <v>660</v>
      </c>
      <c r="D15" s="66" t="s">
        <v>691</v>
      </c>
      <c r="E15" s="66" t="s">
        <v>691</v>
      </c>
      <c r="F15" s="59"/>
      <c r="G15" s="67" t="s">
        <v>661</v>
      </c>
      <c r="H15" s="68" t="s">
        <v>662</v>
      </c>
      <c r="I15" s="59" t="s">
        <v>59</v>
      </c>
      <c r="J15" s="59" t="s">
        <v>48</v>
      </c>
      <c r="K15" s="71" t="s">
        <v>551</v>
      </c>
      <c r="L15" s="59" t="s">
        <v>50</v>
      </c>
      <c r="M15" s="59" t="s">
        <v>57</v>
      </c>
      <c r="N15" s="59" t="s">
        <v>58</v>
      </c>
      <c r="O15" s="72">
        <f t="shared" ca="1" si="3"/>
        <v>3.1999999999999997</v>
      </c>
      <c r="P15" s="72">
        <f t="shared" ca="1" si="40"/>
        <v>4.8</v>
      </c>
      <c r="Q15" s="72">
        <f t="shared" ca="1" si="41"/>
        <v>0</v>
      </c>
      <c r="R15" s="72">
        <f t="shared" ca="1" si="52"/>
        <v>1.5999999999999999</v>
      </c>
      <c r="S15" s="72">
        <f t="shared" ca="1" si="53"/>
        <v>3.1999999999999997</v>
      </c>
      <c r="T15" s="72">
        <f t="shared" ca="1" si="8"/>
        <v>5.6</v>
      </c>
      <c r="U15" s="72">
        <f t="shared" ca="1" si="54"/>
        <v>1.44</v>
      </c>
      <c r="V15" s="72">
        <f t="shared" ca="1" si="55"/>
        <v>0.48</v>
      </c>
      <c r="W15" s="72">
        <f t="shared" ca="1" si="11"/>
        <v>6.24</v>
      </c>
      <c r="X15" s="72">
        <f t="shared" ca="1" si="56"/>
        <v>8</v>
      </c>
      <c r="Y15" s="74">
        <f t="shared" ca="1" si="57"/>
        <v>9.2799999999999994</v>
      </c>
      <c r="Z15" s="72">
        <f t="shared" ca="1" si="58"/>
        <v>3.04</v>
      </c>
      <c r="AA15" s="72">
        <f t="shared" ca="1" si="59"/>
        <v>12.319999999999999</v>
      </c>
      <c r="AB15" s="72" t="s">
        <v>53</v>
      </c>
      <c r="AC15" s="72">
        <f t="shared" ca="1" si="60"/>
        <v>12.319999999999999</v>
      </c>
      <c r="AD15" s="72" t="s">
        <v>54</v>
      </c>
      <c r="AE15" s="72">
        <f t="shared" si="61"/>
        <v>0</v>
      </c>
      <c r="AF15" s="59" t="s">
        <v>627</v>
      </c>
      <c r="AG15" s="59" t="s">
        <v>616</v>
      </c>
      <c r="AH15" s="75"/>
      <c r="AI15" s="59" t="s">
        <v>627</v>
      </c>
      <c r="AJ15" s="59" t="s">
        <v>616</v>
      </c>
      <c r="AK15" s="75"/>
      <c r="AL15" s="75"/>
      <c r="AM15" s="59" t="s">
        <v>619</v>
      </c>
      <c r="AN15" s="59" t="s">
        <v>55</v>
      </c>
      <c r="AO15" s="75"/>
      <c r="AP15" s="75"/>
      <c r="AQ15" s="59"/>
      <c r="AR15" s="59"/>
      <c r="AS15" s="75"/>
      <c r="AT15" s="75"/>
      <c r="AU15" s="59"/>
      <c r="AV15" s="59"/>
      <c r="AW15" s="44"/>
      <c r="AX15" s="59" t="s">
        <v>56</v>
      </c>
      <c r="AY15" s="59" t="s">
        <v>621</v>
      </c>
      <c r="AZ15" s="75"/>
      <c r="BA15" s="59"/>
      <c r="BB15" s="59"/>
      <c r="BC15" s="59"/>
      <c r="BD15" s="59"/>
      <c r="BE15" s="59"/>
      <c r="BF15" s="59"/>
      <c r="BG15" s="34" t="str">
        <f t="shared" si="29"/>
        <v>STIC-HR-012-职位维度画像生成功能</v>
      </c>
      <c r="BH15" s="34">
        <f t="shared" ca="1" si="18"/>
        <v>3.36</v>
      </c>
    </row>
    <row r="16" spans="2:60" ht="28.2" customHeight="1" x14ac:dyDescent="0.25">
      <c r="B16" s="59" t="s">
        <v>623</v>
      </c>
      <c r="C16" s="59" t="s">
        <v>663</v>
      </c>
      <c r="D16" s="66" t="s">
        <v>692</v>
      </c>
      <c r="E16" s="66" t="s">
        <v>692</v>
      </c>
      <c r="F16" s="59"/>
      <c r="G16" s="67" t="s">
        <v>664</v>
      </c>
      <c r="H16" s="68" t="s">
        <v>665</v>
      </c>
      <c r="I16" s="59" t="s">
        <v>59</v>
      </c>
      <c r="J16" s="59" t="s">
        <v>48</v>
      </c>
      <c r="K16" s="71" t="s">
        <v>551</v>
      </c>
      <c r="L16" s="59" t="s">
        <v>50</v>
      </c>
      <c r="M16" s="59" t="s">
        <v>57</v>
      </c>
      <c r="N16" s="59" t="s">
        <v>58</v>
      </c>
      <c r="O16" s="72">
        <f t="shared" ca="1" si="3"/>
        <v>3.1999999999999997</v>
      </c>
      <c r="P16" s="72">
        <f t="shared" ca="1" si="40"/>
        <v>4.8</v>
      </c>
      <c r="Q16" s="72">
        <f t="shared" ca="1" si="41"/>
        <v>0</v>
      </c>
      <c r="R16" s="72">
        <f t="shared" ca="1" si="52"/>
        <v>1.5999999999999999</v>
      </c>
      <c r="S16" s="72">
        <f t="shared" ca="1" si="53"/>
        <v>3.1999999999999997</v>
      </c>
      <c r="T16" s="72">
        <f t="shared" ca="1" si="8"/>
        <v>5.6</v>
      </c>
      <c r="U16" s="72">
        <f t="shared" ca="1" si="54"/>
        <v>1.44</v>
      </c>
      <c r="V16" s="72">
        <f t="shared" ca="1" si="55"/>
        <v>0.48</v>
      </c>
      <c r="W16" s="72">
        <f t="shared" ca="1" si="11"/>
        <v>6.24</v>
      </c>
      <c r="X16" s="72">
        <f t="shared" ca="1" si="56"/>
        <v>8</v>
      </c>
      <c r="Y16" s="74">
        <f t="shared" ca="1" si="57"/>
        <v>9.2799999999999994</v>
      </c>
      <c r="Z16" s="72">
        <f t="shared" ca="1" si="58"/>
        <v>3.04</v>
      </c>
      <c r="AA16" s="72">
        <f t="shared" ca="1" si="59"/>
        <v>12.319999999999999</v>
      </c>
      <c r="AB16" s="72" t="s">
        <v>53</v>
      </c>
      <c r="AC16" s="72">
        <f t="shared" ca="1" si="60"/>
        <v>12.319999999999999</v>
      </c>
      <c r="AD16" s="72" t="s">
        <v>54</v>
      </c>
      <c r="AE16" s="72">
        <f t="shared" si="61"/>
        <v>0</v>
      </c>
      <c r="AF16" s="59" t="s">
        <v>627</v>
      </c>
      <c r="AG16" s="59" t="s">
        <v>616</v>
      </c>
      <c r="AH16" s="75"/>
      <c r="AI16" s="59" t="s">
        <v>627</v>
      </c>
      <c r="AJ16" s="59" t="s">
        <v>616</v>
      </c>
      <c r="AK16" s="75"/>
      <c r="AL16" s="75"/>
      <c r="AM16" s="59" t="s">
        <v>619</v>
      </c>
      <c r="AN16" s="59" t="s">
        <v>616</v>
      </c>
      <c r="AO16" s="75"/>
      <c r="AP16" s="75"/>
      <c r="AQ16" s="59"/>
      <c r="AR16" s="59"/>
      <c r="AS16" s="75"/>
      <c r="AT16" s="75"/>
      <c r="AU16" s="59"/>
      <c r="AV16" s="59"/>
      <c r="AW16" s="44"/>
      <c r="AX16" s="59" t="s">
        <v>56</v>
      </c>
      <c r="AY16" s="59" t="s">
        <v>621</v>
      </c>
      <c r="AZ16" s="75"/>
      <c r="BA16" s="59"/>
      <c r="BB16" s="59"/>
      <c r="BC16" s="59"/>
      <c r="BD16" s="59"/>
      <c r="BE16" s="59"/>
      <c r="BF16" s="59"/>
      <c r="BG16" s="34" t="str">
        <f t="shared" si="29"/>
        <v>STIC-HR-013-职位维度画像Agent编排</v>
      </c>
      <c r="BH16" s="34">
        <f t="shared" ca="1" si="18"/>
        <v>3.36</v>
      </c>
    </row>
    <row r="17" spans="2:60" ht="28.2" customHeight="1" x14ac:dyDescent="0.25">
      <c r="B17" s="59" t="s">
        <v>630</v>
      </c>
      <c r="C17" s="59" t="s">
        <v>666</v>
      </c>
      <c r="D17" s="66" t="s">
        <v>693</v>
      </c>
      <c r="E17" s="66" t="s">
        <v>693</v>
      </c>
      <c r="F17" s="59"/>
      <c r="G17" s="67" t="s">
        <v>667</v>
      </c>
      <c r="H17" s="68"/>
      <c r="I17" s="59" t="s">
        <v>59</v>
      </c>
      <c r="J17" s="59" t="s">
        <v>48</v>
      </c>
      <c r="K17" s="71" t="s">
        <v>551</v>
      </c>
      <c r="L17" s="59" t="s">
        <v>50</v>
      </c>
      <c r="M17" s="59" t="s">
        <v>57</v>
      </c>
      <c r="N17" s="59" t="s">
        <v>60</v>
      </c>
      <c r="O17" s="72">
        <f t="shared" ca="1" si="3"/>
        <v>3.6</v>
      </c>
      <c r="P17" s="72">
        <f t="shared" ca="1" si="40"/>
        <v>7.2</v>
      </c>
      <c r="Q17" s="72">
        <f t="shared" ca="1" si="41"/>
        <v>0</v>
      </c>
      <c r="R17" s="72">
        <f t="shared" ca="1" si="52"/>
        <v>1.8</v>
      </c>
      <c r="S17" s="72">
        <f t="shared" ca="1" si="53"/>
        <v>3.6</v>
      </c>
      <c r="T17" s="72">
        <f t="shared" ca="1" si="8"/>
        <v>8.1</v>
      </c>
      <c r="U17" s="72">
        <f t="shared" ca="1" si="54"/>
        <v>1.62</v>
      </c>
      <c r="V17" s="72">
        <f t="shared" ca="1" si="55"/>
        <v>0.72000000000000008</v>
      </c>
      <c r="W17" s="72">
        <f t="shared" ca="1" si="11"/>
        <v>8.2800000000000011</v>
      </c>
      <c r="X17" s="72">
        <f t="shared" ca="1" si="56"/>
        <v>10.8</v>
      </c>
      <c r="Y17" s="74">
        <f t="shared" ca="1" si="57"/>
        <v>12.42</v>
      </c>
      <c r="Z17" s="72">
        <f t="shared" ca="1" si="58"/>
        <v>3.42</v>
      </c>
      <c r="AA17" s="72">
        <f t="shared" ca="1" si="59"/>
        <v>15.84</v>
      </c>
      <c r="AB17" s="72" t="s">
        <v>53</v>
      </c>
      <c r="AC17" s="72">
        <f t="shared" ca="1" si="60"/>
        <v>15.84</v>
      </c>
      <c r="AD17" s="72" t="s">
        <v>54</v>
      </c>
      <c r="AE17" s="72">
        <f t="shared" si="61"/>
        <v>0</v>
      </c>
      <c r="AF17" s="59" t="s">
        <v>627</v>
      </c>
      <c r="AG17" s="59" t="s">
        <v>616</v>
      </c>
      <c r="AH17" s="75"/>
      <c r="AI17" s="59" t="s">
        <v>627</v>
      </c>
      <c r="AJ17" s="59" t="s">
        <v>616</v>
      </c>
      <c r="AK17" s="75"/>
      <c r="AL17" s="75"/>
      <c r="AM17" s="59" t="s">
        <v>619</v>
      </c>
      <c r="AN17" s="59" t="s">
        <v>616</v>
      </c>
      <c r="AO17" s="75"/>
      <c r="AP17" s="75"/>
      <c r="AQ17" s="59"/>
      <c r="AR17" s="59"/>
      <c r="AS17" s="75"/>
      <c r="AT17" s="75"/>
      <c r="AU17" s="59"/>
      <c r="AV17" s="59"/>
      <c r="AW17" s="44"/>
      <c r="AX17" s="59" t="s">
        <v>56</v>
      </c>
      <c r="AY17" s="59" t="s">
        <v>716</v>
      </c>
      <c r="AZ17" s="75"/>
      <c r="BA17" s="59"/>
      <c r="BB17" s="59"/>
      <c r="BC17" s="59"/>
      <c r="BD17" s="59"/>
      <c r="BE17" s="59"/>
      <c r="BF17" s="59"/>
      <c r="BG17" s="34" t="str">
        <f t="shared" si="29"/>
        <v>STIC-HR-014-向量评分功能</v>
      </c>
      <c r="BH17" s="34">
        <f t="shared" ca="1" si="18"/>
        <v>4.8600000000000003</v>
      </c>
    </row>
    <row r="18" spans="2:60" ht="28.2" customHeight="1" x14ac:dyDescent="0.25">
      <c r="B18" s="59" t="s">
        <v>630</v>
      </c>
      <c r="C18" s="59" t="s">
        <v>668</v>
      </c>
      <c r="D18" s="66" t="s">
        <v>694</v>
      </c>
      <c r="E18" s="66" t="s">
        <v>694</v>
      </c>
      <c r="F18" s="59"/>
      <c r="G18" s="67"/>
      <c r="H18" s="68"/>
      <c r="I18" s="59" t="s">
        <v>59</v>
      </c>
      <c r="J18" s="59" t="s">
        <v>48</v>
      </c>
      <c r="K18" s="71" t="s">
        <v>551</v>
      </c>
      <c r="L18" s="59" t="s">
        <v>50</v>
      </c>
      <c r="M18" s="59" t="s">
        <v>57</v>
      </c>
      <c r="N18" s="59" t="s">
        <v>60</v>
      </c>
      <c r="O18" s="72">
        <f t="shared" ca="1" si="3"/>
        <v>4.8</v>
      </c>
      <c r="P18" s="72">
        <f t="shared" ca="1" si="40"/>
        <v>9.6</v>
      </c>
      <c r="Q18" s="72">
        <f t="shared" ca="1" si="41"/>
        <v>0</v>
      </c>
      <c r="R18" s="72">
        <f t="shared" ca="1" si="52"/>
        <v>2.4</v>
      </c>
      <c r="S18" s="72">
        <f t="shared" ca="1" si="53"/>
        <v>4.8</v>
      </c>
      <c r="T18" s="72">
        <f t="shared" ca="1" si="8"/>
        <v>10.799999999999999</v>
      </c>
      <c r="U18" s="72">
        <f t="shared" ca="1" si="54"/>
        <v>2.16</v>
      </c>
      <c r="V18" s="72">
        <f t="shared" ca="1" si="55"/>
        <v>0.96</v>
      </c>
      <c r="W18" s="72">
        <f t="shared" ca="1" si="11"/>
        <v>11.04</v>
      </c>
      <c r="X18" s="72">
        <f t="shared" ca="1" si="56"/>
        <v>14.399999999999999</v>
      </c>
      <c r="Y18" s="74">
        <f t="shared" ca="1" si="57"/>
        <v>16.559999999999999</v>
      </c>
      <c r="Z18" s="72">
        <f t="shared" ca="1" si="58"/>
        <v>4.5600000000000005</v>
      </c>
      <c r="AA18" s="72">
        <f t="shared" ca="1" si="59"/>
        <v>21.119999999999997</v>
      </c>
      <c r="AB18" s="72" t="s">
        <v>53</v>
      </c>
      <c r="AC18" s="72">
        <f t="shared" ca="1" si="60"/>
        <v>21.119999999999997</v>
      </c>
      <c r="AD18" s="72" t="s">
        <v>54</v>
      </c>
      <c r="AE18" s="72">
        <f t="shared" si="61"/>
        <v>0</v>
      </c>
      <c r="AF18" s="59" t="s">
        <v>627</v>
      </c>
      <c r="AG18" s="59" t="s">
        <v>616</v>
      </c>
      <c r="AH18" s="75"/>
      <c r="AI18" s="59" t="s">
        <v>627</v>
      </c>
      <c r="AJ18" s="59" t="s">
        <v>616</v>
      </c>
      <c r="AK18" s="75"/>
      <c r="AL18" s="75"/>
      <c r="AM18" s="59" t="s">
        <v>619</v>
      </c>
      <c r="AN18" s="59" t="s">
        <v>616</v>
      </c>
      <c r="AO18" s="75"/>
      <c r="AP18" s="75"/>
      <c r="AQ18" s="59"/>
      <c r="AR18" s="59"/>
      <c r="AS18" s="75"/>
      <c r="AT18" s="75"/>
      <c r="AU18" s="59"/>
      <c r="AV18" s="59"/>
      <c r="AW18" s="44"/>
      <c r="AX18" s="59" t="s">
        <v>56</v>
      </c>
      <c r="AY18" s="59" t="s">
        <v>621</v>
      </c>
      <c r="AZ18" s="75"/>
      <c r="BA18" s="59"/>
      <c r="BB18" s="59"/>
      <c r="BC18" s="59"/>
      <c r="BD18" s="59"/>
      <c r="BE18" s="59"/>
      <c r="BF18" s="59"/>
      <c r="BG18" s="34" t="str">
        <f t="shared" si="29"/>
        <v>STIC-HR-015-标签评分功能</v>
      </c>
      <c r="BH18" s="34">
        <f t="shared" ca="1" si="18"/>
        <v>6.48</v>
      </c>
    </row>
    <row r="19" spans="2:60" ht="28.2" customHeight="1" x14ac:dyDescent="0.25">
      <c r="B19" s="59" t="s">
        <v>630</v>
      </c>
      <c r="C19" s="59" t="s">
        <v>669</v>
      </c>
      <c r="D19" s="66" t="s">
        <v>695</v>
      </c>
      <c r="E19" s="66" t="s">
        <v>695</v>
      </c>
      <c r="F19" s="59"/>
      <c r="G19" s="67"/>
      <c r="H19" s="68"/>
      <c r="I19" s="59" t="s">
        <v>59</v>
      </c>
      <c r="J19" s="59" t="s">
        <v>48</v>
      </c>
      <c r="K19" s="71" t="s">
        <v>551</v>
      </c>
      <c r="L19" s="59" t="s">
        <v>50</v>
      </c>
      <c r="M19" s="59" t="s">
        <v>57</v>
      </c>
      <c r="N19" s="59" t="s">
        <v>60</v>
      </c>
      <c r="O19" s="72">
        <f t="shared" ca="1" si="3"/>
        <v>4.8</v>
      </c>
      <c r="P19" s="72">
        <f t="shared" ca="1" si="40"/>
        <v>9.6</v>
      </c>
      <c r="Q19" s="72">
        <f t="shared" ca="1" si="41"/>
        <v>0</v>
      </c>
      <c r="R19" s="72">
        <f t="shared" ca="1" si="52"/>
        <v>2.4</v>
      </c>
      <c r="S19" s="72">
        <f t="shared" ca="1" si="53"/>
        <v>4.8</v>
      </c>
      <c r="T19" s="72">
        <f t="shared" ca="1" si="8"/>
        <v>10.799999999999999</v>
      </c>
      <c r="U19" s="72">
        <f t="shared" ca="1" si="54"/>
        <v>2.16</v>
      </c>
      <c r="V19" s="72">
        <f t="shared" ca="1" si="55"/>
        <v>0.96</v>
      </c>
      <c r="W19" s="72">
        <f t="shared" ca="1" si="11"/>
        <v>11.04</v>
      </c>
      <c r="X19" s="72">
        <f t="shared" ca="1" si="56"/>
        <v>14.399999999999999</v>
      </c>
      <c r="Y19" s="74">
        <f t="shared" ca="1" si="57"/>
        <v>16.559999999999999</v>
      </c>
      <c r="Z19" s="72">
        <f t="shared" ca="1" si="58"/>
        <v>4.5600000000000005</v>
      </c>
      <c r="AA19" s="72">
        <f t="shared" ca="1" si="59"/>
        <v>21.119999999999997</v>
      </c>
      <c r="AB19" s="72" t="s">
        <v>53</v>
      </c>
      <c r="AC19" s="72">
        <f t="shared" ca="1" si="60"/>
        <v>21.119999999999997</v>
      </c>
      <c r="AD19" s="72" t="s">
        <v>54</v>
      </c>
      <c r="AE19" s="72">
        <f t="shared" si="61"/>
        <v>0</v>
      </c>
      <c r="AF19" s="59" t="s">
        <v>627</v>
      </c>
      <c r="AG19" s="59" t="s">
        <v>616</v>
      </c>
      <c r="AH19" s="75"/>
      <c r="AI19" s="59" t="s">
        <v>627</v>
      </c>
      <c r="AJ19" s="59" t="s">
        <v>616</v>
      </c>
      <c r="AK19" s="75"/>
      <c r="AL19" s="75"/>
      <c r="AM19" s="59" t="s">
        <v>619</v>
      </c>
      <c r="AN19" s="59" t="s">
        <v>616</v>
      </c>
      <c r="AO19" s="75"/>
      <c r="AP19" s="75"/>
      <c r="AQ19" s="59"/>
      <c r="AR19" s="59"/>
      <c r="AS19" s="75"/>
      <c r="AT19" s="75"/>
      <c r="AU19" s="59"/>
      <c r="AV19" s="59"/>
      <c r="AW19" s="44"/>
      <c r="AX19" s="59" t="s">
        <v>56</v>
      </c>
      <c r="AY19" s="59" t="s">
        <v>621</v>
      </c>
      <c r="AZ19" s="75"/>
      <c r="BA19" s="59"/>
      <c r="BB19" s="59"/>
      <c r="BC19" s="59"/>
      <c r="BD19" s="59"/>
      <c r="BE19" s="59"/>
      <c r="BF19" s="59"/>
      <c r="BG19" s="34" t="str">
        <f t="shared" si="29"/>
        <v>STIC-HR-016-关键词评分功能</v>
      </c>
      <c r="BH19" s="34">
        <f t="shared" ca="1" si="18"/>
        <v>6.48</v>
      </c>
    </row>
    <row r="20" spans="2:60" ht="28.2" customHeight="1" x14ac:dyDescent="0.25">
      <c r="B20" s="59" t="s">
        <v>630</v>
      </c>
      <c r="C20" s="59" t="s">
        <v>670</v>
      </c>
      <c r="D20" s="66" t="s">
        <v>696</v>
      </c>
      <c r="E20" s="66" t="s">
        <v>696</v>
      </c>
      <c r="F20" s="59"/>
      <c r="G20" s="67" t="s">
        <v>671</v>
      </c>
      <c r="H20" s="68" t="s">
        <v>672</v>
      </c>
      <c r="I20" s="59" t="s">
        <v>622</v>
      </c>
      <c r="J20" s="59" t="s">
        <v>48</v>
      </c>
      <c r="K20" s="71" t="s">
        <v>551</v>
      </c>
      <c r="L20" s="59" t="s">
        <v>50</v>
      </c>
      <c r="M20" s="59" t="s">
        <v>57</v>
      </c>
      <c r="N20" s="59" t="s">
        <v>60</v>
      </c>
      <c r="O20" s="72">
        <f t="shared" ca="1" si="3"/>
        <v>4.8</v>
      </c>
      <c r="P20" s="72">
        <f t="shared" ca="1" si="40"/>
        <v>9.6</v>
      </c>
      <c r="Q20" s="72">
        <f t="shared" ca="1" si="41"/>
        <v>0</v>
      </c>
      <c r="R20" s="72">
        <f t="shared" ca="1" si="52"/>
        <v>2.4</v>
      </c>
      <c r="S20" s="72">
        <f t="shared" ca="1" si="53"/>
        <v>4.8</v>
      </c>
      <c r="T20" s="72">
        <f t="shared" ca="1" si="8"/>
        <v>10.799999999999999</v>
      </c>
      <c r="U20" s="72">
        <f t="shared" ca="1" si="54"/>
        <v>2.16</v>
      </c>
      <c r="V20" s="72">
        <f t="shared" ca="1" si="55"/>
        <v>0.96</v>
      </c>
      <c r="W20" s="72">
        <f t="shared" ca="1" si="11"/>
        <v>11.04</v>
      </c>
      <c r="X20" s="72">
        <f t="shared" ca="1" si="56"/>
        <v>14.399999999999999</v>
      </c>
      <c r="Y20" s="74">
        <f t="shared" ca="1" si="57"/>
        <v>16.559999999999999</v>
      </c>
      <c r="Z20" s="72">
        <f t="shared" ca="1" si="58"/>
        <v>4.5600000000000005</v>
      </c>
      <c r="AA20" s="72">
        <f t="shared" ca="1" si="59"/>
        <v>21.119999999999997</v>
      </c>
      <c r="AB20" s="72" t="s">
        <v>53</v>
      </c>
      <c r="AC20" s="72">
        <f t="shared" ca="1" si="60"/>
        <v>21.119999999999997</v>
      </c>
      <c r="AD20" s="72" t="s">
        <v>54</v>
      </c>
      <c r="AE20" s="72">
        <f t="shared" si="61"/>
        <v>0</v>
      </c>
      <c r="AF20" s="59" t="s">
        <v>627</v>
      </c>
      <c r="AG20" s="59" t="s">
        <v>616</v>
      </c>
      <c r="AH20" s="75"/>
      <c r="AI20" s="59" t="s">
        <v>627</v>
      </c>
      <c r="AJ20" s="59" t="s">
        <v>616</v>
      </c>
      <c r="AK20" s="75"/>
      <c r="AL20" s="75"/>
      <c r="AM20" s="59" t="s">
        <v>619</v>
      </c>
      <c r="AN20" s="59" t="s">
        <v>616</v>
      </c>
      <c r="AO20" s="75"/>
      <c r="AP20" s="75"/>
      <c r="AQ20" s="59"/>
      <c r="AR20" s="59"/>
      <c r="AS20" s="75"/>
      <c r="AT20" s="75"/>
      <c r="AU20" s="59"/>
      <c r="AV20" s="59"/>
      <c r="AW20" s="44"/>
      <c r="AX20" s="59" t="s">
        <v>56</v>
      </c>
      <c r="AY20" s="59" t="s">
        <v>621</v>
      </c>
      <c r="AZ20" s="75"/>
      <c r="BA20" s="59"/>
      <c r="BB20" s="59"/>
      <c r="BC20" s="59"/>
      <c r="BD20" s="59"/>
      <c r="BE20" s="59"/>
      <c r="BF20" s="59"/>
      <c r="BG20" s="34" t="str">
        <f t="shared" si="29"/>
        <v>STIC-HR-017-按照岗位查询推荐简历接口</v>
      </c>
      <c r="BH20" s="34">
        <f t="shared" ca="1" si="18"/>
        <v>6.48</v>
      </c>
    </row>
    <row r="21" spans="2:60" ht="28.2" customHeight="1" x14ac:dyDescent="0.25">
      <c r="B21" s="59" t="s">
        <v>630</v>
      </c>
      <c r="C21" s="59" t="s">
        <v>703</v>
      </c>
      <c r="D21" s="66" t="s">
        <v>697</v>
      </c>
      <c r="E21" s="66" t="s">
        <v>697</v>
      </c>
      <c r="F21" s="59"/>
      <c r="G21" s="67" t="s">
        <v>679</v>
      </c>
      <c r="H21" s="68"/>
      <c r="I21" s="59" t="s">
        <v>59</v>
      </c>
      <c r="J21" s="59" t="s">
        <v>48</v>
      </c>
      <c r="K21" s="71" t="s">
        <v>551</v>
      </c>
      <c r="L21" s="59" t="s">
        <v>50</v>
      </c>
      <c r="M21" s="59" t="s">
        <v>57</v>
      </c>
      <c r="N21" s="59" t="s">
        <v>60</v>
      </c>
      <c r="O21" s="72">
        <f t="shared" ca="1" si="3"/>
        <v>4.8</v>
      </c>
      <c r="P21" s="72">
        <f t="shared" ca="1" si="40"/>
        <v>9.6</v>
      </c>
      <c r="Q21" s="72">
        <f t="shared" ca="1" si="41"/>
        <v>0</v>
      </c>
      <c r="R21" s="72">
        <f t="shared" ca="1" si="52"/>
        <v>2.4</v>
      </c>
      <c r="S21" s="72">
        <f t="shared" ca="1" si="53"/>
        <v>4.8</v>
      </c>
      <c r="T21" s="72">
        <f t="shared" ca="1" si="8"/>
        <v>10.799999999999999</v>
      </c>
      <c r="U21" s="72">
        <f t="shared" ca="1" si="54"/>
        <v>2.16</v>
      </c>
      <c r="V21" s="72">
        <f t="shared" ca="1" si="55"/>
        <v>0.96</v>
      </c>
      <c r="W21" s="72">
        <f t="shared" ca="1" si="11"/>
        <v>11.04</v>
      </c>
      <c r="X21" s="72">
        <f t="shared" ca="1" si="56"/>
        <v>14.399999999999999</v>
      </c>
      <c r="Y21" s="74">
        <f t="shared" ca="1" si="57"/>
        <v>16.559999999999999</v>
      </c>
      <c r="Z21" s="72">
        <f t="shared" ca="1" si="58"/>
        <v>4.5600000000000005</v>
      </c>
      <c r="AA21" s="72">
        <f t="shared" ca="1" si="59"/>
        <v>21.119999999999997</v>
      </c>
      <c r="AB21" s="72" t="s">
        <v>53</v>
      </c>
      <c r="AC21" s="72">
        <f t="shared" ca="1" si="60"/>
        <v>21.119999999999997</v>
      </c>
      <c r="AD21" s="72" t="s">
        <v>54</v>
      </c>
      <c r="AE21" s="72">
        <f t="shared" si="61"/>
        <v>0</v>
      </c>
      <c r="AF21" s="59" t="s">
        <v>627</v>
      </c>
      <c r="AG21" s="59" t="s">
        <v>616</v>
      </c>
      <c r="AH21" s="75"/>
      <c r="AI21" s="59" t="s">
        <v>627</v>
      </c>
      <c r="AJ21" s="59" t="s">
        <v>616</v>
      </c>
      <c r="AK21" s="75"/>
      <c r="AL21" s="75"/>
      <c r="AM21" s="59" t="s">
        <v>619</v>
      </c>
      <c r="AN21" s="59" t="s">
        <v>616</v>
      </c>
      <c r="AO21" s="75"/>
      <c r="AP21" s="75"/>
      <c r="AQ21" s="59"/>
      <c r="AR21" s="59"/>
      <c r="AS21" s="75"/>
      <c r="AT21" s="75"/>
      <c r="AU21" s="59"/>
      <c r="AV21" s="59"/>
      <c r="AW21" s="44"/>
      <c r="AX21" s="59" t="s">
        <v>56</v>
      </c>
      <c r="AY21" s="59" t="s">
        <v>621</v>
      </c>
      <c r="AZ21" s="75"/>
      <c r="BA21" s="59"/>
      <c r="BB21" s="59"/>
      <c r="BC21" s="59"/>
      <c r="BD21" s="59"/>
      <c r="BE21" s="59"/>
      <c r="BF21" s="59"/>
      <c r="BG21" s="34" t="str">
        <f t="shared" si="29"/>
        <v>STIC-HR-018-人岗匹配历史记录</v>
      </c>
      <c r="BH21" s="34">
        <f t="shared" ca="1" si="18"/>
        <v>6.48</v>
      </c>
    </row>
    <row r="22" spans="2:60" ht="25.8" customHeight="1" x14ac:dyDescent="0.25">
      <c r="B22" s="59" t="s">
        <v>630</v>
      </c>
      <c r="C22" s="59" t="s">
        <v>674</v>
      </c>
      <c r="D22" s="66" t="s">
        <v>698</v>
      </c>
      <c r="E22" s="66" t="s">
        <v>698</v>
      </c>
      <c r="F22" s="59"/>
      <c r="G22" s="67" t="s">
        <v>675</v>
      </c>
      <c r="H22" s="68" t="s">
        <v>676</v>
      </c>
      <c r="I22" s="59" t="s">
        <v>59</v>
      </c>
      <c r="J22" s="59" t="s">
        <v>48</v>
      </c>
      <c r="K22" s="71" t="s">
        <v>551</v>
      </c>
      <c r="L22" s="59" t="s">
        <v>50</v>
      </c>
      <c r="M22" s="59" t="s">
        <v>57</v>
      </c>
      <c r="N22" s="59" t="s">
        <v>58</v>
      </c>
      <c r="O22" s="72">
        <f t="shared" ca="1" si="3"/>
        <v>2.4</v>
      </c>
      <c r="P22" s="72">
        <f t="shared" ca="1" si="40"/>
        <v>3.6</v>
      </c>
      <c r="Q22" s="72">
        <f t="shared" ca="1" si="41"/>
        <v>0</v>
      </c>
      <c r="R22" s="72">
        <f t="shared" ca="1" si="52"/>
        <v>1.2</v>
      </c>
      <c r="S22" s="72">
        <f t="shared" ca="1" si="53"/>
        <v>2.4</v>
      </c>
      <c r="T22" s="72">
        <f t="shared" ca="1" si="8"/>
        <v>4.2</v>
      </c>
      <c r="U22" s="72">
        <f t="shared" ca="1" si="54"/>
        <v>1.08</v>
      </c>
      <c r="V22" s="72">
        <f t="shared" ca="1" si="55"/>
        <v>0.36000000000000004</v>
      </c>
      <c r="W22" s="72">
        <f t="shared" ca="1" si="11"/>
        <v>4.68</v>
      </c>
      <c r="X22" s="72">
        <f t="shared" ca="1" si="56"/>
        <v>6</v>
      </c>
      <c r="Y22" s="74">
        <f t="shared" ca="1" si="57"/>
        <v>6.96</v>
      </c>
      <c r="Z22" s="72">
        <f t="shared" ca="1" si="58"/>
        <v>2.2800000000000002</v>
      </c>
      <c r="AA22" s="72">
        <f t="shared" ca="1" si="59"/>
        <v>9.2399999999999984</v>
      </c>
      <c r="AB22" s="72" t="s">
        <v>53</v>
      </c>
      <c r="AC22" s="72">
        <f t="shared" ca="1" si="60"/>
        <v>9.2399999999999984</v>
      </c>
      <c r="AD22" s="72" t="s">
        <v>54</v>
      </c>
      <c r="AE22" s="72">
        <f t="shared" si="61"/>
        <v>0</v>
      </c>
      <c r="AF22" s="59" t="s">
        <v>627</v>
      </c>
      <c r="AG22" s="59" t="s">
        <v>616</v>
      </c>
      <c r="AH22" s="75"/>
      <c r="AI22" s="59" t="s">
        <v>627</v>
      </c>
      <c r="AJ22" s="59" t="s">
        <v>616</v>
      </c>
      <c r="AK22" s="75"/>
      <c r="AL22" s="75"/>
      <c r="AM22" s="59" t="s">
        <v>619</v>
      </c>
      <c r="AN22" s="59" t="s">
        <v>616</v>
      </c>
      <c r="AO22" s="75"/>
      <c r="AP22" s="75"/>
      <c r="AQ22" s="59"/>
      <c r="AR22" s="59"/>
      <c r="AS22" s="75"/>
      <c r="AT22" s="75"/>
      <c r="AU22" s="59"/>
      <c r="AV22" s="59"/>
      <c r="AW22" s="44"/>
      <c r="AX22" s="59" t="s">
        <v>56</v>
      </c>
      <c r="AY22" s="59" t="s">
        <v>716</v>
      </c>
      <c r="AZ22" s="75"/>
      <c r="BA22" s="59"/>
      <c r="BB22" s="59"/>
      <c r="BC22" s="59"/>
      <c r="BD22" s="59"/>
      <c r="BE22" s="59"/>
      <c r="BF22" s="59"/>
      <c r="BG22" s="34" t="str">
        <f t="shared" si="29"/>
        <v>STIC-HR-019-单点登录</v>
      </c>
      <c r="BH22" s="34">
        <f t="shared" ca="1" si="18"/>
        <v>2.52</v>
      </c>
    </row>
    <row r="23" spans="2:60" ht="28.2" customHeight="1" x14ac:dyDescent="0.25">
      <c r="B23" s="59" t="s">
        <v>630</v>
      </c>
      <c r="C23" s="59" t="s">
        <v>677</v>
      </c>
      <c r="D23" s="66" t="s">
        <v>699</v>
      </c>
      <c r="E23" s="66" t="s">
        <v>699</v>
      </c>
      <c r="F23" s="59"/>
      <c r="G23" s="67" t="s">
        <v>678</v>
      </c>
      <c r="H23" s="68"/>
      <c r="I23" s="59" t="s">
        <v>59</v>
      </c>
      <c r="J23" s="59" t="s">
        <v>48</v>
      </c>
      <c r="K23" s="71" t="s">
        <v>551</v>
      </c>
      <c r="L23" s="59" t="s">
        <v>50</v>
      </c>
      <c r="M23" s="59" t="s">
        <v>57</v>
      </c>
      <c r="N23" s="59" t="s">
        <v>60</v>
      </c>
      <c r="O23" s="72">
        <f t="shared" ca="1" si="3"/>
        <v>4.8</v>
      </c>
      <c r="P23" s="72">
        <f t="shared" ca="1" si="40"/>
        <v>9.6</v>
      </c>
      <c r="Q23" s="72">
        <f t="shared" ca="1" si="41"/>
        <v>0</v>
      </c>
      <c r="R23" s="72">
        <f t="shared" ca="1" si="52"/>
        <v>2.4</v>
      </c>
      <c r="S23" s="72">
        <f t="shared" ca="1" si="53"/>
        <v>4.8</v>
      </c>
      <c r="T23" s="72">
        <f t="shared" ca="1" si="8"/>
        <v>10.799999999999999</v>
      </c>
      <c r="U23" s="72">
        <f t="shared" ca="1" si="54"/>
        <v>2.16</v>
      </c>
      <c r="V23" s="72">
        <f t="shared" ca="1" si="55"/>
        <v>0.96</v>
      </c>
      <c r="W23" s="72">
        <f t="shared" ca="1" si="11"/>
        <v>11.04</v>
      </c>
      <c r="X23" s="72">
        <f t="shared" ca="1" si="56"/>
        <v>14.399999999999999</v>
      </c>
      <c r="Y23" s="74">
        <f t="shared" ca="1" si="57"/>
        <v>16.559999999999999</v>
      </c>
      <c r="Z23" s="72">
        <f t="shared" ca="1" si="58"/>
        <v>4.5600000000000005</v>
      </c>
      <c r="AA23" s="72">
        <f t="shared" ca="1" si="59"/>
        <v>21.119999999999997</v>
      </c>
      <c r="AB23" s="72" t="s">
        <v>53</v>
      </c>
      <c r="AC23" s="72">
        <f t="shared" ca="1" si="60"/>
        <v>21.119999999999997</v>
      </c>
      <c r="AD23" s="72" t="s">
        <v>54</v>
      </c>
      <c r="AE23" s="72">
        <f t="shared" si="61"/>
        <v>0</v>
      </c>
      <c r="AF23" s="59" t="s">
        <v>627</v>
      </c>
      <c r="AG23" s="59" t="s">
        <v>616</v>
      </c>
      <c r="AH23" s="75"/>
      <c r="AI23" s="59" t="s">
        <v>627</v>
      </c>
      <c r="AJ23" s="59" t="s">
        <v>616</v>
      </c>
      <c r="AK23" s="75"/>
      <c r="AL23" s="75"/>
      <c r="AM23" s="59" t="s">
        <v>619</v>
      </c>
      <c r="AN23" s="59" t="s">
        <v>616</v>
      </c>
      <c r="AO23" s="75"/>
      <c r="AP23" s="75"/>
      <c r="AQ23" s="59"/>
      <c r="AR23" s="59"/>
      <c r="AS23" s="75"/>
      <c r="AT23" s="75"/>
      <c r="AU23" s="59"/>
      <c r="AV23" s="59"/>
      <c r="AW23" s="44"/>
      <c r="AX23" s="59" t="s">
        <v>56</v>
      </c>
      <c r="AY23" s="59" t="s">
        <v>621</v>
      </c>
      <c r="AZ23" s="75"/>
      <c r="BA23" s="59"/>
      <c r="BB23" s="59"/>
      <c r="BC23" s="59"/>
      <c r="BD23" s="59"/>
      <c r="BE23" s="59"/>
      <c r="BF23" s="59"/>
      <c r="BG23" s="34" t="str">
        <f t="shared" si="29"/>
        <v>STIC-HR-020-评分调优</v>
      </c>
      <c r="BH23" s="34">
        <f t="shared" ca="1" si="18"/>
        <v>6.48</v>
      </c>
    </row>
    <row r="24" spans="2:60" ht="28.2" customHeight="1" x14ac:dyDescent="0.25">
      <c r="B24" s="59" t="s">
        <v>630</v>
      </c>
      <c r="C24" s="59" t="s">
        <v>704</v>
      </c>
      <c r="D24" s="66" t="s">
        <v>705</v>
      </c>
      <c r="E24" s="66" t="s">
        <v>705</v>
      </c>
      <c r="F24" s="59"/>
      <c r="G24" s="67" t="s">
        <v>706</v>
      </c>
      <c r="H24" s="68"/>
      <c r="I24" s="59" t="s">
        <v>59</v>
      </c>
      <c r="J24" s="59" t="s">
        <v>48</v>
      </c>
      <c r="K24" s="71" t="s">
        <v>551</v>
      </c>
      <c r="L24" s="59" t="s">
        <v>50</v>
      </c>
      <c r="M24" s="59" t="s">
        <v>57</v>
      </c>
      <c r="N24" s="59" t="s">
        <v>52</v>
      </c>
      <c r="O24" s="72">
        <f t="shared" ref="O24" ca="1" si="62">INDEX(Design_Days,VLOOKUP(M24,Index_Rows,2,FALSE),VLOOKUP(N24,Index_Cols,2,FALSE))/VLOOKUP(VLOOKUP(AY24,INDIRECT("Lookups!"&amp;ADDRESS(ROW(Resource_Level)+1,COLUMN(Resource_Level),4)&amp;":"&amp;ADDRESS(ROW(Resource_Level)+Resource_Rows,COLUMN(Resource_Level)+1,4)),2,FALSE),LU_Level_Metrics,2,FALSE)</f>
        <v>0.93333333333333324</v>
      </c>
      <c r="P24" s="72">
        <f t="shared" ref="P24" ca="1" si="63">INDEX(Build_Days,VLOOKUP(M24,Index_Rows,2,FALSE),VLOOKUP(N24,Index_Cols,2,FALSE))/VLOOKUP(VLOOKUP(AY24,INDIRECT("Lookups!"&amp;ADDRESS(ROW(Resource_Level)+1,COLUMN(Resource_Level),4)&amp;":"&amp;ADDRESS(ROW(Resource_Level)+Resource_Rows,COLUMN(Resource_Level)+1,4)),2,FALSE),LU_Level_Metrics,2,FALSE)</f>
        <v>1.8666666666666665</v>
      </c>
      <c r="Q24" s="72">
        <f t="shared" ref="Q24" ca="1" si="64">IF(INDEX(Build_Days,VLOOKUP(M24,Index_Rows,2,FALSE),1)=1,(O24+P24)*0.2,0)/VLOOKUP(VLOOKUP(AY24,INDIRECT("Lookups!"&amp;ADDRESS(ROW(Resource_Level)+1,COLUMN(Resource_Level),4)&amp;":"&amp;ADDRESS(ROW(Resource_Level)+Resource_Rows,COLUMN(Resource_Level)+1,4)),2,FALSE),LU_Level_Metrics,2,FALSE)</f>
        <v>0</v>
      </c>
      <c r="R24" s="72">
        <f t="shared" ref="R24" ca="1" si="65">0.5*O24</f>
        <v>0.46666666666666662</v>
      </c>
      <c r="S24" s="72">
        <f t="shared" ref="S24" ca="1" si="66">O24</f>
        <v>0.93333333333333324</v>
      </c>
      <c r="T24" s="72">
        <f t="shared" ref="T24" ca="1" si="67">P24+0.25*O24</f>
        <v>2.0999999999999996</v>
      </c>
      <c r="U24" s="72">
        <f t="shared" ref="U24" ca="1" si="68">0.45*O24</f>
        <v>0.42</v>
      </c>
      <c r="V24" s="72">
        <f t="shared" ref="V24" ca="1" si="69">0.1*P24</f>
        <v>0.18666666666666665</v>
      </c>
      <c r="W24" s="72">
        <f t="shared" ref="W24" ca="1" si="70">0.9*O24+0.7*P24</f>
        <v>2.1466666666666665</v>
      </c>
      <c r="X24" s="72">
        <f t="shared" ref="X24" ca="1" si="71">O24+P24</f>
        <v>2.8</v>
      </c>
      <c r="Y24" s="74">
        <f t="shared" ref="Y24" ca="1" si="72">S24+T24+V24</f>
        <v>3.2199999999999993</v>
      </c>
      <c r="Z24" s="72">
        <f t="shared" ref="Z24" ca="1" si="73">U24+R24</f>
        <v>0.8866666666666666</v>
      </c>
      <c r="AA24" s="72">
        <f t="shared" ref="AA24" ca="1" si="74">S24+T24+V24+U24+R24</f>
        <v>4.1066666666666656</v>
      </c>
      <c r="AB24" s="72" t="s">
        <v>53</v>
      </c>
      <c r="AC24" s="72">
        <f t="shared" ref="AC24" ca="1" si="75">IF(AB24="Y",AA24,0)</f>
        <v>4.1066666666666656</v>
      </c>
      <c r="AD24" s="72" t="s">
        <v>54</v>
      </c>
      <c r="AE24" s="72">
        <f t="shared" ref="AE24" si="76">IF(AD24="Y",AA24,0)</f>
        <v>0</v>
      </c>
      <c r="AF24" s="59" t="s">
        <v>627</v>
      </c>
      <c r="AG24" s="59" t="s">
        <v>616</v>
      </c>
      <c r="AH24" s="75"/>
      <c r="AI24" s="59" t="s">
        <v>627</v>
      </c>
      <c r="AJ24" s="59" t="s">
        <v>616</v>
      </c>
      <c r="AK24" s="75"/>
      <c r="AL24" s="75"/>
      <c r="AM24" s="59" t="s">
        <v>619</v>
      </c>
      <c r="AN24" s="59" t="s">
        <v>616</v>
      </c>
      <c r="AO24" s="75"/>
      <c r="AP24" s="75"/>
      <c r="AQ24" s="59"/>
      <c r="AR24" s="59"/>
      <c r="AS24" s="75"/>
      <c r="AT24" s="75"/>
      <c r="AU24" s="59"/>
      <c r="AV24" s="59"/>
      <c r="AW24" s="44"/>
      <c r="AX24" s="59" t="s">
        <v>56</v>
      </c>
      <c r="AY24" s="59" t="s">
        <v>621</v>
      </c>
      <c r="AZ24" s="75"/>
      <c r="BA24" s="59"/>
      <c r="BB24" s="59"/>
      <c r="BC24" s="59"/>
      <c r="BD24" s="59"/>
      <c r="BE24" s="59"/>
      <c r="BF24" s="59"/>
      <c r="BG24" s="34" t="str">
        <f t="shared" ref="BG24" si="77">E24&amp;"-"&amp;C24</f>
        <v>STIC-HR-021-简历上传历史记录</v>
      </c>
      <c r="BH24" s="34">
        <f t="shared" ref="BH24" ca="1" si="78">ROUND(T24*0.6,2)</f>
        <v>1.26</v>
      </c>
    </row>
    <row r="25" spans="2:60" ht="28.2" customHeight="1" x14ac:dyDescent="0.25">
      <c r="B25" s="59" t="s">
        <v>628</v>
      </c>
      <c r="C25" s="59" t="s">
        <v>707</v>
      </c>
      <c r="D25" s="66" t="s">
        <v>708</v>
      </c>
      <c r="E25" s="66" t="s">
        <v>708</v>
      </c>
      <c r="F25" s="59"/>
      <c r="G25" s="67" t="s">
        <v>709</v>
      </c>
      <c r="H25" s="68"/>
      <c r="I25" s="59" t="s">
        <v>59</v>
      </c>
      <c r="J25" s="59" t="s">
        <v>48</v>
      </c>
      <c r="K25" s="71" t="s">
        <v>551</v>
      </c>
      <c r="L25" s="59" t="s">
        <v>50</v>
      </c>
      <c r="M25" s="59" t="s">
        <v>57</v>
      </c>
      <c r="N25" s="59" t="s">
        <v>60</v>
      </c>
      <c r="O25" s="72">
        <f t="shared" ref="O25:O26" ca="1" si="79">INDEX(Design_Days,VLOOKUP(M25,Index_Rows,2,FALSE),VLOOKUP(N25,Index_Cols,2,FALSE))/VLOOKUP(VLOOKUP(AY25,INDIRECT("Lookups!"&amp;ADDRESS(ROW(Resource_Level)+1,COLUMN(Resource_Level),4)&amp;":"&amp;ADDRESS(ROW(Resource_Level)+Resource_Rows,COLUMN(Resource_Level)+1,4)),2,FALSE),LU_Level_Metrics,2,FALSE)</f>
        <v>4.8</v>
      </c>
      <c r="P25" s="72">
        <f t="shared" ref="P25:P26" ca="1" si="80">INDEX(Build_Days,VLOOKUP(M25,Index_Rows,2,FALSE),VLOOKUP(N25,Index_Cols,2,FALSE))/VLOOKUP(VLOOKUP(AY25,INDIRECT("Lookups!"&amp;ADDRESS(ROW(Resource_Level)+1,COLUMN(Resource_Level),4)&amp;":"&amp;ADDRESS(ROW(Resource_Level)+Resource_Rows,COLUMN(Resource_Level)+1,4)),2,FALSE),LU_Level_Metrics,2,FALSE)</f>
        <v>9.6</v>
      </c>
      <c r="Q25" s="72">
        <f t="shared" ref="Q25:Q26" ca="1" si="81">IF(INDEX(Build_Days,VLOOKUP(M25,Index_Rows,2,FALSE),1)=1,(O25+P25)*0.2,0)/VLOOKUP(VLOOKUP(AY25,INDIRECT("Lookups!"&amp;ADDRESS(ROW(Resource_Level)+1,COLUMN(Resource_Level),4)&amp;":"&amp;ADDRESS(ROW(Resource_Level)+Resource_Rows,COLUMN(Resource_Level)+1,4)),2,FALSE),LU_Level_Metrics,2,FALSE)</f>
        <v>0</v>
      </c>
      <c r="R25" s="72">
        <f t="shared" ref="R25:R26" ca="1" si="82">0.5*O25</f>
        <v>2.4</v>
      </c>
      <c r="S25" s="72">
        <f t="shared" ref="S25:S26" ca="1" si="83">O25</f>
        <v>4.8</v>
      </c>
      <c r="T25" s="72">
        <f t="shared" ref="T25:T26" ca="1" si="84">P25+0.25*O25</f>
        <v>10.799999999999999</v>
      </c>
      <c r="U25" s="72">
        <f t="shared" ref="U25:U26" ca="1" si="85">0.45*O25</f>
        <v>2.16</v>
      </c>
      <c r="V25" s="72">
        <f t="shared" ref="V25:V26" ca="1" si="86">0.1*P25</f>
        <v>0.96</v>
      </c>
      <c r="W25" s="72">
        <f t="shared" ref="W25:W26" ca="1" si="87">0.9*O25+0.7*P25</f>
        <v>11.04</v>
      </c>
      <c r="X25" s="72">
        <f t="shared" ref="X25:X26" ca="1" si="88">O25+P25</f>
        <v>14.399999999999999</v>
      </c>
      <c r="Y25" s="74">
        <f t="shared" ref="Y25:Y26" ca="1" si="89">S25+T25+V25</f>
        <v>16.559999999999999</v>
      </c>
      <c r="Z25" s="72">
        <f t="shared" ref="Z25:Z26" ca="1" si="90">U25+R25</f>
        <v>4.5600000000000005</v>
      </c>
      <c r="AA25" s="72">
        <f t="shared" ref="AA25:AA26" ca="1" si="91">S25+T25+V25+U25+R25</f>
        <v>21.119999999999997</v>
      </c>
      <c r="AB25" s="72" t="s">
        <v>53</v>
      </c>
      <c r="AC25" s="72">
        <f t="shared" ref="AC25:AC26" ca="1" si="92">IF(AB25="Y",AA25,0)</f>
        <v>21.119999999999997</v>
      </c>
      <c r="AD25" s="72" t="s">
        <v>54</v>
      </c>
      <c r="AE25" s="72">
        <f t="shared" ref="AE25:AE26" si="93">IF(AD25="Y",AA25,0)</f>
        <v>0</v>
      </c>
      <c r="AF25" s="59" t="s">
        <v>627</v>
      </c>
      <c r="AG25" s="59" t="s">
        <v>616</v>
      </c>
      <c r="AH25" s="75"/>
      <c r="AI25" s="59" t="s">
        <v>627</v>
      </c>
      <c r="AJ25" s="59" t="s">
        <v>616</v>
      </c>
      <c r="AK25" s="75"/>
      <c r="AL25" s="75"/>
      <c r="AM25" s="59" t="s">
        <v>619</v>
      </c>
      <c r="AN25" s="59" t="s">
        <v>616</v>
      </c>
      <c r="AO25" s="75"/>
      <c r="AP25" s="75"/>
      <c r="AQ25" s="59"/>
      <c r="AR25" s="59"/>
      <c r="AS25" s="75"/>
      <c r="AT25" s="75"/>
      <c r="AU25" s="59"/>
      <c r="AV25" s="59"/>
      <c r="AW25" s="44"/>
      <c r="AX25" s="59" t="s">
        <v>56</v>
      </c>
      <c r="AY25" s="59" t="s">
        <v>621</v>
      </c>
      <c r="AZ25" s="75"/>
      <c r="BA25" s="59"/>
      <c r="BB25" s="59"/>
      <c r="BC25" s="59"/>
      <c r="BD25" s="59"/>
      <c r="BE25" s="59"/>
      <c r="BF25" s="59"/>
      <c r="BG25" s="34" t="str">
        <f t="shared" ref="BG25:BG26" si="94">E25&amp;"-"&amp;C25</f>
        <v>STIC-HR-022-简历上传历史记录页面</v>
      </c>
      <c r="BH25" s="34">
        <f t="shared" ref="BH25:BH26" ca="1" si="95">ROUND(T25*0.6,2)</f>
        <v>6.48</v>
      </c>
    </row>
    <row r="26" spans="2:60" ht="28.2" customHeight="1" x14ac:dyDescent="0.25">
      <c r="B26" s="59" t="s">
        <v>630</v>
      </c>
      <c r="C26" s="59" t="s">
        <v>710</v>
      </c>
      <c r="D26" s="66" t="s">
        <v>711</v>
      </c>
      <c r="E26" s="66" t="s">
        <v>711</v>
      </c>
      <c r="F26" s="59"/>
      <c r="G26" s="67" t="s">
        <v>713</v>
      </c>
      <c r="H26" s="68"/>
      <c r="I26" s="59" t="s">
        <v>59</v>
      </c>
      <c r="J26" s="59" t="s">
        <v>48</v>
      </c>
      <c r="K26" s="71" t="s">
        <v>551</v>
      </c>
      <c r="L26" s="59" t="s">
        <v>50</v>
      </c>
      <c r="M26" s="59" t="s">
        <v>57</v>
      </c>
      <c r="N26" s="59" t="s">
        <v>60</v>
      </c>
      <c r="O26" s="72">
        <f t="shared" ca="1" si="79"/>
        <v>4.8</v>
      </c>
      <c r="P26" s="72">
        <f t="shared" ca="1" si="80"/>
        <v>9.6</v>
      </c>
      <c r="Q26" s="72">
        <f t="shared" ca="1" si="81"/>
        <v>0</v>
      </c>
      <c r="R26" s="72">
        <f t="shared" ca="1" si="82"/>
        <v>2.4</v>
      </c>
      <c r="S26" s="72">
        <f t="shared" ca="1" si="83"/>
        <v>4.8</v>
      </c>
      <c r="T26" s="72">
        <f t="shared" ca="1" si="84"/>
        <v>10.799999999999999</v>
      </c>
      <c r="U26" s="72">
        <f t="shared" ca="1" si="85"/>
        <v>2.16</v>
      </c>
      <c r="V26" s="72">
        <f t="shared" ca="1" si="86"/>
        <v>0.96</v>
      </c>
      <c r="W26" s="72">
        <f t="shared" ca="1" si="87"/>
        <v>11.04</v>
      </c>
      <c r="X26" s="72">
        <f t="shared" ca="1" si="88"/>
        <v>14.399999999999999</v>
      </c>
      <c r="Y26" s="74">
        <f t="shared" ca="1" si="89"/>
        <v>16.559999999999999</v>
      </c>
      <c r="Z26" s="72">
        <f t="shared" ca="1" si="90"/>
        <v>4.5600000000000005</v>
      </c>
      <c r="AA26" s="72">
        <f t="shared" ca="1" si="91"/>
        <v>21.119999999999997</v>
      </c>
      <c r="AB26" s="72" t="s">
        <v>53</v>
      </c>
      <c r="AC26" s="72">
        <f t="shared" ca="1" si="92"/>
        <v>21.119999999999997</v>
      </c>
      <c r="AD26" s="72" t="s">
        <v>54</v>
      </c>
      <c r="AE26" s="72">
        <f t="shared" si="93"/>
        <v>0</v>
      </c>
      <c r="AF26" s="59" t="s">
        <v>627</v>
      </c>
      <c r="AG26" s="59" t="s">
        <v>616</v>
      </c>
      <c r="AH26" s="75"/>
      <c r="AI26" s="59" t="s">
        <v>627</v>
      </c>
      <c r="AJ26" s="59" t="s">
        <v>616</v>
      </c>
      <c r="AK26" s="75"/>
      <c r="AL26" s="75"/>
      <c r="AM26" s="59" t="s">
        <v>619</v>
      </c>
      <c r="AN26" s="59" t="s">
        <v>616</v>
      </c>
      <c r="AO26" s="75"/>
      <c r="AP26" s="75"/>
      <c r="AQ26" s="59"/>
      <c r="AR26" s="59"/>
      <c r="AS26" s="75"/>
      <c r="AT26" s="75"/>
      <c r="AU26" s="59"/>
      <c r="AV26" s="59"/>
      <c r="AW26" s="44"/>
      <c r="AX26" s="59" t="s">
        <v>56</v>
      </c>
      <c r="AY26" s="59" t="s">
        <v>621</v>
      </c>
      <c r="AZ26" s="75"/>
      <c r="BA26" s="59"/>
      <c r="BB26" s="59"/>
      <c r="BC26" s="59"/>
      <c r="BD26" s="59"/>
      <c r="BE26" s="59"/>
      <c r="BF26" s="59"/>
      <c r="BG26" s="34" t="str">
        <f t="shared" si="94"/>
        <v>STIC-HR-023-简历上传历史查询（列表/明细）</v>
      </c>
      <c r="BH26" s="34">
        <f t="shared" ca="1" si="95"/>
        <v>6.48</v>
      </c>
    </row>
    <row r="27" spans="2:60" ht="28.2" customHeight="1" x14ac:dyDescent="0.25">
      <c r="B27" s="59" t="s">
        <v>630</v>
      </c>
      <c r="C27" s="59" t="s">
        <v>712</v>
      </c>
      <c r="D27" s="66" t="s">
        <v>714</v>
      </c>
      <c r="E27" s="66" t="s">
        <v>714</v>
      </c>
      <c r="F27" s="59"/>
      <c r="G27" s="67" t="s">
        <v>715</v>
      </c>
      <c r="H27" s="68"/>
      <c r="I27" s="59" t="s">
        <v>59</v>
      </c>
      <c r="J27" s="59" t="s">
        <v>48</v>
      </c>
      <c r="K27" s="71" t="s">
        <v>551</v>
      </c>
      <c r="L27" s="59" t="s">
        <v>50</v>
      </c>
      <c r="M27" s="59" t="s">
        <v>57</v>
      </c>
      <c r="N27" s="59" t="s">
        <v>60</v>
      </c>
      <c r="O27" s="72">
        <f t="shared" ref="O27" ca="1" si="96">INDEX(Design_Days,VLOOKUP(M27,Index_Rows,2,FALSE),VLOOKUP(N27,Index_Cols,2,FALSE))/VLOOKUP(VLOOKUP(AY27,INDIRECT("Lookups!"&amp;ADDRESS(ROW(Resource_Level)+1,COLUMN(Resource_Level),4)&amp;":"&amp;ADDRESS(ROW(Resource_Level)+Resource_Rows,COLUMN(Resource_Level)+1,4)),2,FALSE),LU_Level_Metrics,2,FALSE)</f>
        <v>4.8</v>
      </c>
      <c r="P27" s="72">
        <f t="shared" ref="P27" ca="1" si="97">INDEX(Build_Days,VLOOKUP(M27,Index_Rows,2,FALSE),VLOOKUP(N27,Index_Cols,2,FALSE))/VLOOKUP(VLOOKUP(AY27,INDIRECT("Lookups!"&amp;ADDRESS(ROW(Resource_Level)+1,COLUMN(Resource_Level),4)&amp;":"&amp;ADDRESS(ROW(Resource_Level)+Resource_Rows,COLUMN(Resource_Level)+1,4)),2,FALSE),LU_Level_Metrics,2,FALSE)</f>
        <v>9.6</v>
      </c>
      <c r="Q27" s="72">
        <f t="shared" ref="Q27" ca="1" si="98">IF(INDEX(Build_Days,VLOOKUP(M27,Index_Rows,2,FALSE),1)=1,(O27+P27)*0.2,0)/VLOOKUP(VLOOKUP(AY27,INDIRECT("Lookups!"&amp;ADDRESS(ROW(Resource_Level)+1,COLUMN(Resource_Level),4)&amp;":"&amp;ADDRESS(ROW(Resource_Level)+Resource_Rows,COLUMN(Resource_Level)+1,4)),2,FALSE),LU_Level_Metrics,2,FALSE)</f>
        <v>0</v>
      </c>
      <c r="R27" s="72">
        <f t="shared" ref="R27" ca="1" si="99">0.5*O27</f>
        <v>2.4</v>
      </c>
      <c r="S27" s="72">
        <f t="shared" ref="S27" ca="1" si="100">O27</f>
        <v>4.8</v>
      </c>
      <c r="T27" s="72">
        <f t="shared" ref="T27" ca="1" si="101">P27+0.25*O27</f>
        <v>10.799999999999999</v>
      </c>
      <c r="U27" s="72">
        <f t="shared" ref="U27" ca="1" si="102">0.45*O27</f>
        <v>2.16</v>
      </c>
      <c r="V27" s="72">
        <f t="shared" ref="V27" ca="1" si="103">0.1*P27</f>
        <v>0.96</v>
      </c>
      <c r="W27" s="72">
        <f t="shared" ref="W27" ca="1" si="104">0.9*O27+0.7*P27</f>
        <v>11.04</v>
      </c>
      <c r="X27" s="72">
        <f t="shared" ref="X27" ca="1" si="105">O27+P27</f>
        <v>14.399999999999999</v>
      </c>
      <c r="Y27" s="74">
        <f t="shared" ref="Y27" ca="1" si="106">S27+T27+V27</f>
        <v>16.559999999999999</v>
      </c>
      <c r="Z27" s="72">
        <f t="shared" ref="Z27" ca="1" si="107">U27+R27</f>
        <v>4.5600000000000005</v>
      </c>
      <c r="AA27" s="72">
        <f t="shared" ref="AA27" ca="1" si="108">S27+T27+V27+U27+R27</f>
        <v>21.119999999999997</v>
      </c>
      <c r="AB27" s="72" t="s">
        <v>53</v>
      </c>
      <c r="AC27" s="72">
        <f t="shared" ref="AC27" ca="1" si="109">IF(AB27="Y",AA27,0)</f>
        <v>21.119999999999997</v>
      </c>
      <c r="AD27" s="72" t="s">
        <v>54</v>
      </c>
      <c r="AE27" s="72">
        <f t="shared" ref="AE27" si="110">IF(AD27="Y",AA27,0)</f>
        <v>0</v>
      </c>
      <c r="AF27" s="59" t="s">
        <v>627</v>
      </c>
      <c r="AG27" s="59" t="s">
        <v>616</v>
      </c>
      <c r="AH27" s="75"/>
      <c r="AI27" s="59" t="s">
        <v>627</v>
      </c>
      <c r="AJ27" s="59" t="s">
        <v>616</v>
      </c>
      <c r="AK27" s="75"/>
      <c r="AL27" s="75"/>
      <c r="AM27" s="59" t="s">
        <v>619</v>
      </c>
      <c r="AN27" s="59" t="s">
        <v>616</v>
      </c>
      <c r="AO27" s="75"/>
      <c r="AP27" s="75"/>
      <c r="AQ27" s="59"/>
      <c r="AR27" s="59"/>
      <c r="AS27" s="75"/>
      <c r="AT27" s="75"/>
      <c r="AU27" s="59"/>
      <c r="AV27" s="59"/>
      <c r="AW27" s="44"/>
      <c r="AX27" s="59" t="s">
        <v>56</v>
      </c>
      <c r="AY27" s="59" t="s">
        <v>621</v>
      </c>
      <c r="AZ27" s="75"/>
      <c r="BA27" s="59"/>
      <c r="BB27" s="59"/>
      <c r="BC27" s="59"/>
      <c r="BD27" s="59"/>
      <c r="BE27" s="59"/>
      <c r="BF27" s="59"/>
      <c r="BG27" s="34" t="str">
        <f t="shared" ref="BG27" si="111">E27&amp;"-"&amp;C27</f>
        <v>STIC-HR-024-历史失败简历文件重新解析接口</v>
      </c>
      <c r="BH27" s="34">
        <f t="shared" ref="BH27" ca="1" si="112">ROUND(T27*0.6,2)</f>
        <v>6.48</v>
      </c>
    </row>
    <row r="28" spans="2:60" ht="28.2" customHeight="1" x14ac:dyDescent="0.25">
      <c r="B28" s="59" t="s">
        <v>720</v>
      </c>
      <c r="C28" s="59" t="s">
        <v>721</v>
      </c>
      <c r="D28" s="66" t="s">
        <v>723</v>
      </c>
      <c r="E28" s="66" t="s">
        <v>723</v>
      </c>
      <c r="F28" s="59"/>
      <c r="G28" s="67" t="s">
        <v>726</v>
      </c>
      <c r="H28" s="68"/>
      <c r="I28" s="59" t="s">
        <v>59</v>
      </c>
      <c r="J28" s="59" t="s">
        <v>48</v>
      </c>
      <c r="K28" s="71" t="s">
        <v>551</v>
      </c>
      <c r="L28" s="59" t="s">
        <v>50</v>
      </c>
      <c r="M28" s="59" t="s">
        <v>57</v>
      </c>
      <c r="N28" s="59" t="s">
        <v>52</v>
      </c>
      <c r="O28" s="72">
        <f t="shared" ref="O28:O30" ca="1" si="113">INDEX(Design_Days,VLOOKUP(M28,Index_Rows,2,FALSE),VLOOKUP(N28,Index_Cols,2,FALSE))/VLOOKUP(VLOOKUP(AY28,INDIRECT("Lookups!"&amp;ADDRESS(ROW(Resource_Level)+1,COLUMN(Resource_Level),4)&amp;":"&amp;ADDRESS(ROW(Resource_Level)+Resource_Rows,COLUMN(Resource_Level)+1,4)),2,FALSE),LU_Level_Metrics,2,FALSE)</f>
        <v>0.93333333333333324</v>
      </c>
      <c r="P28" s="72">
        <f t="shared" ref="P28:P30" ca="1" si="114">INDEX(Build_Days,VLOOKUP(M28,Index_Rows,2,FALSE),VLOOKUP(N28,Index_Cols,2,FALSE))/VLOOKUP(VLOOKUP(AY28,INDIRECT("Lookups!"&amp;ADDRESS(ROW(Resource_Level)+1,COLUMN(Resource_Level),4)&amp;":"&amp;ADDRESS(ROW(Resource_Level)+Resource_Rows,COLUMN(Resource_Level)+1,4)),2,FALSE),LU_Level_Metrics,2,FALSE)</f>
        <v>1.8666666666666665</v>
      </c>
      <c r="Q28" s="72">
        <f t="shared" ref="Q28:Q30" ca="1" si="115">IF(INDEX(Build_Days,VLOOKUP(M28,Index_Rows,2,FALSE),1)=1,(O28+P28)*0.2,0)/VLOOKUP(VLOOKUP(AY28,INDIRECT("Lookups!"&amp;ADDRESS(ROW(Resource_Level)+1,COLUMN(Resource_Level),4)&amp;":"&amp;ADDRESS(ROW(Resource_Level)+Resource_Rows,COLUMN(Resource_Level)+1,4)),2,FALSE),LU_Level_Metrics,2,FALSE)</f>
        <v>0</v>
      </c>
      <c r="R28" s="72">
        <f t="shared" ref="R28:R30" ca="1" si="116">0.5*O28</f>
        <v>0.46666666666666662</v>
      </c>
      <c r="S28" s="72">
        <f t="shared" ref="S28:S30" ca="1" si="117">O28</f>
        <v>0.93333333333333324</v>
      </c>
      <c r="T28" s="72">
        <f t="shared" ref="T28:T30" ca="1" si="118">P28+0.25*O28</f>
        <v>2.0999999999999996</v>
      </c>
      <c r="U28" s="72">
        <f t="shared" ref="U28:U30" ca="1" si="119">0.45*O28</f>
        <v>0.42</v>
      </c>
      <c r="V28" s="72">
        <f t="shared" ref="V28:V30" ca="1" si="120">0.1*P28</f>
        <v>0.18666666666666665</v>
      </c>
      <c r="W28" s="72">
        <f t="shared" ref="W28:W30" ca="1" si="121">0.9*O28+0.7*P28</f>
        <v>2.1466666666666665</v>
      </c>
      <c r="X28" s="72">
        <f t="shared" ref="X28:X30" ca="1" si="122">O28+P28</f>
        <v>2.8</v>
      </c>
      <c r="Y28" s="74">
        <f t="shared" ref="Y28:Y30" ca="1" si="123">S28+T28+V28</f>
        <v>3.2199999999999993</v>
      </c>
      <c r="Z28" s="72">
        <f t="shared" ref="Z28:Z30" ca="1" si="124">U28+R28</f>
        <v>0.8866666666666666</v>
      </c>
      <c r="AA28" s="72">
        <f t="shared" ref="AA28:AA30" ca="1" si="125">S28+T28+V28+U28+R28</f>
        <v>4.1066666666666656</v>
      </c>
      <c r="AB28" s="72" t="s">
        <v>53</v>
      </c>
      <c r="AC28" s="72">
        <f t="shared" ref="AC28:AC30" ca="1" si="126">IF(AB28="Y",AA28,0)</f>
        <v>4.1066666666666656</v>
      </c>
      <c r="AD28" s="72" t="s">
        <v>54</v>
      </c>
      <c r="AE28" s="72">
        <f t="shared" ref="AE28:AE30" si="127">IF(AD28="Y",AA28,0)</f>
        <v>0</v>
      </c>
      <c r="AF28" s="59" t="s">
        <v>627</v>
      </c>
      <c r="AG28" s="59" t="s">
        <v>616</v>
      </c>
      <c r="AH28" s="75"/>
      <c r="AI28" s="59" t="s">
        <v>627</v>
      </c>
      <c r="AJ28" s="59" t="s">
        <v>616</v>
      </c>
      <c r="AK28" s="75"/>
      <c r="AL28" s="75"/>
      <c r="AM28" s="59" t="s">
        <v>619</v>
      </c>
      <c r="AN28" s="59" t="s">
        <v>616</v>
      </c>
      <c r="AO28" s="75"/>
      <c r="AP28" s="75"/>
      <c r="AQ28" s="59"/>
      <c r="AR28" s="59"/>
      <c r="AS28" s="75"/>
      <c r="AT28" s="75"/>
      <c r="AU28" s="59"/>
      <c r="AV28" s="59"/>
      <c r="AW28" s="44"/>
      <c r="AX28" s="59" t="s">
        <v>56</v>
      </c>
      <c r="AY28" s="59" t="s">
        <v>621</v>
      </c>
      <c r="AZ28" s="75"/>
      <c r="BA28" s="59"/>
      <c r="BB28" s="59"/>
      <c r="BC28" s="59"/>
      <c r="BD28" s="59"/>
      <c r="BE28" s="59"/>
      <c r="BF28" s="59"/>
      <c r="BG28" s="34" t="str">
        <f t="shared" ref="BG28:BG30" si="128">E28&amp;"-"&amp;C28</f>
        <v>STIC-HR-025-同步MDM组织信息job</v>
      </c>
      <c r="BH28" s="34">
        <f t="shared" ref="BH28:BH30" ca="1" si="129">ROUND(T28*0.6,2)</f>
        <v>1.26</v>
      </c>
    </row>
    <row r="29" spans="2:60" ht="28.2" customHeight="1" x14ac:dyDescent="0.25">
      <c r="B29" s="59" t="s">
        <v>630</v>
      </c>
      <c r="C29" s="59" t="s">
        <v>722</v>
      </c>
      <c r="D29" s="66" t="s">
        <v>724</v>
      </c>
      <c r="E29" s="66" t="s">
        <v>724</v>
      </c>
      <c r="F29" s="59"/>
      <c r="G29" s="67" t="s">
        <v>727</v>
      </c>
      <c r="H29" s="68"/>
      <c r="I29" s="59" t="s">
        <v>59</v>
      </c>
      <c r="J29" s="59" t="s">
        <v>48</v>
      </c>
      <c r="K29" s="71" t="s">
        <v>551</v>
      </c>
      <c r="L29" s="59" t="s">
        <v>50</v>
      </c>
      <c r="M29" s="59" t="s">
        <v>57</v>
      </c>
      <c r="N29" s="59" t="s">
        <v>52</v>
      </c>
      <c r="O29" s="72">
        <f t="shared" ca="1" si="113"/>
        <v>0.93333333333333324</v>
      </c>
      <c r="P29" s="72">
        <f t="shared" ca="1" si="114"/>
        <v>1.8666666666666665</v>
      </c>
      <c r="Q29" s="72">
        <f t="shared" ca="1" si="115"/>
        <v>0</v>
      </c>
      <c r="R29" s="72">
        <f t="shared" ca="1" si="116"/>
        <v>0.46666666666666662</v>
      </c>
      <c r="S29" s="72">
        <f t="shared" ca="1" si="117"/>
        <v>0.93333333333333324</v>
      </c>
      <c r="T29" s="72">
        <f t="shared" ca="1" si="118"/>
        <v>2.0999999999999996</v>
      </c>
      <c r="U29" s="72">
        <f t="shared" ca="1" si="119"/>
        <v>0.42</v>
      </c>
      <c r="V29" s="72">
        <f t="shared" ca="1" si="120"/>
        <v>0.18666666666666665</v>
      </c>
      <c r="W29" s="72">
        <f t="shared" ca="1" si="121"/>
        <v>2.1466666666666665</v>
      </c>
      <c r="X29" s="72">
        <f t="shared" ca="1" si="122"/>
        <v>2.8</v>
      </c>
      <c r="Y29" s="74">
        <f t="shared" ca="1" si="123"/>
        <v>3.2199999999999993</v>
      </c>
      <c r="Z29" s="72">
        <f t="shared" ca="1" si="124"/>
        <v>0.8866666666666666</v>
      </c>
      <c r="AA29" s="72">
        <f t="shared" ca="1" si="125"/>
        <v>4.1066666666666656</v>
      </c>
      <c r="AB29" s="72" t="s">
        <v>53</v>
      </c>
      <c r="AC29" s="72">
        <f t="shared" ca="1" si="126"/>
        <v>4.1066666666666656</v>
      </c>
      <c r="AD29" s="72" t="s">
        <v>54</v>
      </c>
      <c r="AE29" s="72">
        <f t="shared" si="127"/>
        <v>0</v>
      </c>
      <c r="AF29" s="59" t="s">
        <v>627</v>
      </c>
      <c r="AG29" s="59" t="s">
        <v>616</v>
      </c>
      <c r="AH29" s="75"/>
      <c r="AI29" s="59" t="s">
        <v>627</v>
      </c>
      <c r="AJ29" s="59" t="s">
        <v>616</v>
      </c>
      <c r="AK29" s="75"/>
      <c r="AL29" s="75"/>
      <c r="AM29" s="59" t="s">
        <v>619</v>
      </c>
      <c r="AN29" s="59" t="s">
        <v>616</v>
      </c>
      <c r="AO29" s="75"/>
      <c r="AP29" s="75"/>
      <c r="AQ29" s="59"/>
      <c r="AR29" s="59"/>
      <c r="AS29" s="75"/>
      <c r="AT29" s="75"/>
      <c r="AU29" s="59"/>
      <c r="AV29" s="59"/>
      <c r="AW29" s="44"/>
      <c r="AX29" s="59" t="s">
        <v>56</v>
      </c>
      <c r="AY29" s="59" t="s">
        <v>621</v>
      </c>
      <c r="AZ29" s="75"/>
      <c r="BA29" s="59"/>
      <c r="BB29" s="59"/>
      <c r="BC29" s="59"/>
      <c r="BD29" s="59"/>
      <c r="BE29" s="59"/>
      <c r="BF29" s="59"/>
      <c r="BG29" s="34" t="str">
        <f t="shared" si="128"/>
        <v>STIC-HR-026-同步MDM岗位信息JOB</v>
      </c>
      <c r="BH29" s="34">
        <f t="shared" ca="1" si="129"/>
        <v>1.26</v>
      </c>
    </row>
    <row r="30" spans="2:60" ht="43.8" customHeight="1" x14ac:dyDescent="0.25">
      <c r="B30" s="59" t="s">
        <v>630</v>
      </c>
      <c r="C30" s="59" t="s">
        <v>728</v>
      </c>
      <c r="D30" s="66" t="s">
        <v>725</v>
      </c>
      <c r="E30" s="66" t="s">
        <v>725</v>
      </c>
      <c r="F30" s="59"/>
      <c r="G30" s="67" t="s">
        <v>729</v>
      </c>
      <c r="H30" s="68"/>
      <c r="I30" s="59" t="s">
        <v>59</v>
      </c>
      <c r="J30" s="59" t="s">
        <v>48</v>
      </c>
      <c r="K30" s="71" t="s">
        <v>551</v>
      </c>
      <c r="L30" s="59" t="s">
        <v>50</v>
      </c>
      <c r="M30" s="59" t="s">
        <v>57</v>
      </c>
      <c r="N30" s="59" t="s">
        <v>52</v>
      </c>
      <c r="O30" s="72">
        <f t="shared" ca="1" si="113"/>
        <v>0.93333333333333324</v>
      </c>
      <c r="P30" s="72">
        <f t="shared" ca="1" si="114"/>
        <v>1.8666666666666665</v>
      </c>
      <c r="Q30" s="72">
        <f t="shared" ca="1" si="115"/>
        <v>0</v>
      </c>
      <c r="R30" s="72">
        <f t="shared" ca="1" si="116"/>
        <v>0.46666666666666662</v>
      </c>
      <c r="S30" s="72">
        <f t="shared" ca="1" si="117"/>
        <v>0.93333333333333324</v>
      </c>
      <c r="T30" s="72">
        <f t="shared" ca="1" si="118"/>
        <v>2.0999999999999996</v>
      </c>
      <c r="U30" s="72">
        <f t="shared" ca="1" si="119"/>
        <v>0.42</v>
      </c>
      <c r="V30" s="72">
        <f t="shared" ca="1" si="120"/>
        <v>0.18666666666666665</v>
      </c>
      <c r="W30" s="72">
        <f t="shared" ca="1" si="121"/>
        <v>2.1466666666666665</v>
      </c>
      <c r="X30" s="72">
        <f t="shared" ca="1" si="122"/>
        <v>2.8</v>
      </c>
      <c r="Y30" s="74">
        <f t="shared" ca="1" si="123"/>
        <v>3.2199999999999993</v>
      </c>
      <c r="Z30" s="72">
        <f t="shared" ca="1" si="124"/>
        <v>0.8866666666666666</v>
      </c>
      <c r="AA30" s="72">
        <f t="shared" ca="1" si="125"/>
        <v>4.1066666666666656</v>
      </c>
      <c r="AB30" s="72" t="s">
        <v>53</v>
      </c>
      <c r="AC30" s="72">
        <f t="shared" ca="1" si="126"/>
        <v>4.1066666666666656</v>
      </c>
      <c r="AD30" s="72" t="s">
        <v>54</v>
      </c>
      <c r="AE30" s="72">
        <f t="shared" si="127"/>
        <v>0</v>
      </c>
      <c r="AF30" s="59" t="s">
        <v>627</v>
      </c>
      <c r="AG30" s="59" t="s">
        <v>616</v>
      </c>
      <c r="AH30" s="75"/>
      <c r="AI30" s="59" t="s">
        <v>627</v>
      </c>
      <c r="AJ30" s="59" t="s">
        <v>616</v>
      </c>
      <c r="AK30" s="75"/>
      <c r="AL30" s="75"/>
      <c r="AM30" s="59" t="s">
        <v>619</v>
      </c>
      <c r="AN30" s="59" t="s">
        <v>616</v>
      </c>
      <c r="AO30" s="75"/>
      <c r="AP30" s="75"/>
      <c r="AQ30" s="59"/>
      <c r="AR30" s="59"/>
      <c r="AS30" s="75"/>
      <c r="AT30" s="75"/>
      <c r="AU30" s="59"/>
      <c r="AV30" s="59"/>
      <c r="AW30" s="44"/>
      <c r="AX30" s="59" t="s">
        <v>56</v>
      </c>
      <c r="AY30" s="59" t="s">
        <v>621</v>
      </c>
      <c r="AZ30" s="75"/>
      <c r="BA30" s="59"/>
      <c r="BB30" s="59"/>
      <c r="BC30" s="59"/>
      <c r="BD30" s="59"/>
      <c r="BE30" s="59"/>
      <c r="BF30" s="59"/>
      <c r="BG30" s="34" t="str">
        <f t="shared" si="128"/>
        <v>STIC-HR-027-岗位预解析接口</v>
      </c>
      <c r="BH30" s="34">
        <f t="shared" ca="1" si="129"/>
        <v>1.26</v>
      </c>
    </row>
  </sheetData>
  <mergeCells count="55">
    <mergeCell ref="AV2:AV3"/>
    <mergeCell ref="AW2:AW3"/>
    <mergeCell ref="AX2:AX3"/>
    <mergeCell ref="AY2:AY3"/>
    <mergeCell ref="AQ2:AQ3"/>
    <mergeCell ref="AR2:AR3"/>
    <mergeCell ref="AS2:AS3"/>
    <mergeCell ref="AT2:AT3"/>
    <mergeCell ref="AU2:AU3"/>
    <mergeCell ref="AL2:AL3"/>
    <mergeCell ref="AM2:AM3"/>
    <mergeCell ref="AN2:AN3"/>
    <mergeCell ref="AO2:AO3"/>
    <mergeCell ref="AP2:AP3"/>
    <mergeCell ref="AJ2:AJ3"/>
    <mergeCell ref="AF2:AF3"/>
    <mergeCell ref="AG2:AG3"/>
    <mergeCell ref="AH2:AH3"/>
    <mergeCell ref="AK2:AK3"/>
    <mergeCell ref="AB2:AB3"/>
    <mergeCell ref="AC2:AC3"/>
    <mergeCell ref="AD2:AD3"/>
    <mergeCell ref="AE2:AE3"/>
    <mergeCell ref="AI2:AI3"/>
    <mergeCell ref="W2:W3"/>
    <mergeCell ref="X2:X3"/>
    <mergeCell ref="Y2:Y3"/>
    <mergeCell ref="Z2:Z3"/>
    <mergeCell ref="AA2:AA3"/>
    <mergeCell ref="R2:R3"/>
    <mergeCell ref="S2:S3"/>
    <mergeCell ref="T2:T3"/>
    <mergeCell ref="U2:U3"/>
    <mergeCell ref="V2:V3"/>
    <mergeCell ref="AX1:AY1"/>
    <mergeCell ref="B2:B3"/>
    <mergeCell ref="C2:C3"/>
    <mergeCell ref="D2:D3"/>
    <mergeCell ref="E2:E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AF1:AH1"/>
    <mergeCell ref="AI1:AL1"/>
    <mergeCell ref="AM1:AP1"/>
    <mergeCell ref="AQ1:AT1"/>
    <mergeCell ref="AU1:AW1"/>
  </mergeCells>
  <phoneticPr fontId="17" type="noConversion"/>
  <conditionalFormatting sqref="BA4:BF23">
    <cfRule type="cellIs" dxfId="262" priority="620" stopIfTrue="1" operator="equal">
      <formula>5</formula>
    </cfRule>
    <cfRule type="cellIs" dxfId="261" priority="621" stopIfTrue="1" operator="equal">
      <formula>4</formula>
    </cfRule>
    <cfRule type="cellIs" dxfId="260" priority="622" stopIfTrue="1" operator="equal">
      <formula>3</formula>
    </cfRule>
    <cfRule type="cellIs" dxfId="259" priority="623" stopIfTrue="1" operator="equal">
      <formula>2</formula>
    </cfRule>
    <cfRule type="cellIs" dxfId="258" priority="624" stopIfTrue="1" operator="equal">
      <formula>1</formula>
    </cfRule>
  </conditionalFormatting>
  <conditionalFormatting sqref="E31:E1048576 E1:E3">
    <cfRule type="duplicateValues" dxfId="257" priority="19421"/>
  </conditionalFormatting>
  <conditionalFormatting sqref="E31:E1048576">
    <cfRule type="duplicateValues" dxfId="256" priority="19424"/>
  </conditionalFormatting>
  <conditionalFormatting sqref="BA2:BF2">
    <cfRule type="colorScale" priority="1942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9428">
      <colorScale>
        <cfvo type="min"/>
        <cfvo type="max"/>
        <color rgb="FFFF7128"/>
        <color rgb="FFFFEF9C"/>
      </colorScale>
    </cfRule>
  </conditionalFormatting>
  <conditionalFormatting sqref="BA24:BF24">
    <cfRule type="cellIs" dxfId="255" priority="36" stopIfTrue="1" operator="equal">
      <formula>5</formula>
    </cfRule>
    <cfRule type="cellIs" dxfId="254" priority="37" stopIfTrue="1" operator="equal">
      <formula>4</formula>
    </cfRule>
    <cfRule type="cellIs" dxfId="253" priority="38" stopIfTrue="1" operator="equal">
      <formula>3</formula>
    </cfRule>
    <cfRule type="cellIs" dxfId="252" priority="39" stopIfTrue="1" operator="equal">
      <formula>2</formula>
    </cfRule>
    <cfRule type="cellIs" dxfId="251" priority="40" stopIfTrue="1" operator="equal">
      <formula>1</formula>
    </cfRule>
  </conditionalFormatting>
  <conditionalFormatting sqref="BA25:BF25">
    <cfRule type="cellIs" dxfId="250" priority="31" stopIfTrue="1" operator="equal">
      <formula>5</formula>
    </cfRule>
    <cfRule type="cellIs" dxfId="249" priority="32" stopIfTrue="1" operator="equal">
      <formula>4</formula>
    </cfRule>
    <cfRule type="cellIs" dxfId="248" priority="33" stopIfTrue="1" operator="equal">
      <formula>3</formula>
    </cfRule>
    <cfRule type="cellIs" dxfId="247" priority="34" stopIfTrue="1" operator="equal">
      <formula>2</formula>
    </cfRule>
    <cfRule type="cellIs" dxfId="246" priority="35" stopIfTrue="1" operator="equal">
      <formula>1</formula>
    </cfRule>
  </conditionalFormatting>
  <conditionalFormatting sqref="BA26:BF26">
    <cfRule type="cellIs" dxfId="245" priority="21" stopIfTrue="1" operator="equal">
      <formula>5</formula>
    </cfRule>
    <cfRule type="cellIs" dxfId="244" priority="22" stopIfTrue="1" operator="equal">
      <formula>4</formula>
    </cfRule>
    <cfRule type="cellIs" dxfId="243" priority="23" stopIfTrue="1" operator="equal">
      <formula>3</formula>
    </cfRule>
    <cfRule type="cellIs" dxfId="242" priority="24" stopIfTrue="1" operator="equal">
      <formula>2</formula>
    </cfRule>
    <cfRule type="cellIs" dxfId="241" priority="25" stopIfTrue="1" operator="equal">
      <formula>1</formula>
    </cfRule>
  </conditionalFormatting>
  <conditionalFormatting sqref="BA27:BF27">
    <cfRule type="cellIs" dxfId="240" priority="16" stopIfTrue="1" operator="equal">
      <formula>5</formula>
    </cfRule>
    <cfRule type="cellIs" dxfId="239" priority="17" stopIfTrue="1" operator="equal">
      <formula>4</formula>
    </cfRule>
    <cfRule type="cellIs" dxfId="238" priority="18" stopIfTrue="1" operator="equal">
      <formula>3</formula>
    </cfRule>
    <cfRule type="cellIs" dxfId="237" priority="19" stopIfTrue="1" operator="equal">
      <formula>2</formula>
    </cfRule>
    <cfRule type="cellIs" dxfId="236" priority="20" stopIfTrue="1" operator="equal">
      <formula>1</formula>
    </cfRule>
  </conditionalFormatting>
  <conditionalFormatting sqref="BA28:BF28">
    <cfRule type="cellIs" dxfId="14" priority="11" stopIfTrue="1" operator="equal">
      <formula>5</formula>
    </cfRule>
    <cfRule type="cellIs" dxfId="13" priority="12" stopIfTrue="1" operator="equal">
      <formula>4</formula>
    </cfRule>
    <cfRule type="cellIs" dxfId="12" priority="13" stopIfTrue="1" operator="equal">
      <formula>3</formula>
    </cfRule>
    <cfRule type="cellIs" dxfId="11" priority="14" stopIfTrue="1" operator="equal">
      <formula>2</formula>
    </cfRule>
    <cfRule type="cellIs" dxfId="10" priority="15" stopIfTrue="1" operator="equal">
      <formula>1</formula>
    </cfRule>
  </conditionalFormatting>
  <conditionalFormatting sqref="BA29:BF29">
    <cfRule type="cellIs" dxfId="9" priority="6" stopIfTrue="1" operator="equal">
      <formula>5</formula>
    </cfRule>
    <cfRule type="cellIs" dxfId="8" priority="7" stopIfTrue="1" operator="equal">
      <formula>4</formula>
    </cfRule>
    <cfRule type="cellIs" dxfId="7" priority="8" stopIfTrue="1" operator="equal">
      <formula>3</formula>
    </cfRule>
    <cfRule type="cellIs" dxfId="6" priority="9" stopIfTrue="1" operator="equal">
      <formula>2</formula>
    </cfRule>
    <cfRule type="cellIs" dxfId="5" priority="10" stopIfTrue="1" operator="equal">
      <formula>1</formula>
    </cfRule>
  </conditionalFormatting>
  <conditionalFormatting sqref="BA30:BF30">
    <cfRule type="cellIs" dxfId="4" priority="1" stopIfTrue="1" operator="equal">
      <formula>5</formula>
    </cfRule>
    <cfRule type="cellIs" dxfId="3" priority="2" stopIfTrue="1" operator="equal">
      <formula>4</formula>
    </cfRule>
    <cfRule type="cellIs" dxfId="2" priority="3" stopIfTrue="1" operator="equal">
      <formula>3</formula>
    </cfRule>
    <cfRule type="cellIs" dxfId="1" priority="4" stopIfTrue="1" operator="equal">
      <formula>2</formula>
    </cfRule>
    <cfRule type="cellIs" dxfId="0" priority="5" stopIfTrue="1" operator="equal">
      <formula>1</formula>
    </cfRule>
  </conditionalFormatting>
  <dataValidations count="9">
    <dataValidation type="list" allowBlank="1" showInputMessage="1" showErrorMessage="1" sqref="B4:B30" xr:uid="{00000000-0002-0000-0100-000000000000}">
      <formula1>Division</formula1>
    </dataValidation>
    <dataValidation type="list" allowBlank="1" showInputMessage="1" showErrorMessage="1" sqref="I4:I30" xr:uid="{00000000-0002-0000-0100-000001000000}">
      <formula1>"SIT前,UAT前,上线前,上线后,迭代上线"</formula1>
    </dataValidation>
    <dataValidation type="list" allowBlank="1" showInputMessage="1" showErrorMessage="1" sqref="J4:J30" xr:uid="{00000000-0002-0000-0100-000002000000}">
      <formula1>Mode</formula1>
    </dataValidation>
    <dataValidation type="list" allowBlank="1" showInputMessage="1" showErrorMessage="1" sqref="K4:K30" xr:uid="{00000000-0002-0000-0100-000003000000}">
      <formula1>Status</formula1>
    </dataValidation>
    <dataValidation type="list" allowBlank="1" showInputMessage="1" showErrorMessage="1" sqref="L4:L30" xr:uid="{00000000-0002-0000-0100-000004000000}">
      <formula1>DevTypes</formula1>
    </dataValidation>
    <dataValidation type="list" allowBlank="1" showInputMessage="1" showErrorMessage="1" sqref="M4:M30" xr:uid="{00000000-0002-0000-0100-000005000000}">
      <formula1>LU_Types</formula1>
    </dataValidation>
    <dataValidation type="list" allowBlank="1" showInputMessage="1" showErrorMessage="1" sqref="N4:N30" xr:uid="{00000000-0002-0000-0100-000006000000}">
      <formula1>LU_Ratings</formula1>
    </dataValidation>
    <dataValidation type="list" allowBlank="1" showInputMessage="1" showErrorMessage="1" sqref="AB4:AB30 AD4:AD30" xr:uid="{00000000-0002-0000-0100-000007000000}">
      <formula1>"Y,N"</formula1>
    </dataValidation>
    <dataValidation type="list" allowBlank="1" showInputMessage="1" showErrorMessage="1" sqref="AJ4:AJ30 AG4:AG30 AR4:AR30 AN4:AN30" xr:uid="{00000000-0002-0000-0100-000008000000}">
      <formula1>"未开始,进行中,已延迟,已完成"</formula1>
    </dataValidation>
  </dataValidations>
  <pageMargins left="0.7" right="0.7" top="0.75" bottom="0.75" header="0.3" footer="0.3"/>
  <pageSetup paperSize="9" orientation="portrait" horizontalDpi="200" verticalDpi="300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9000000}">
          <x14:formula1>
            <xm:f>Lookups!$R$2:$R$6</xm:f>
          </x14:formula1>
          <xm:sqref>AX4:AY30 AM4:AM30 AQ4:AQ30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9"/>
  <sheetViews>
    <sheetView zoomScale="90" zoomScaleNormal="90" workbookViewId="0">
      <selection activeCell="D97" sqref="D97"/>
    </sheetView>
  </sheetViews>
  <sheetFormatPr defaultColWidth="8.69921875" defaultRowHeight="12" x14ac:dyDescent="0.25"/>
  <cols>
    <col min="1" max="1" width="10.69921875" style="48" customWidth="1"/>
    <col min="2" max="2" width="35.69921875" style="49" customWidth="1"/>
    <col min="3" max="3" width="10.69921875" style="49" customWidth="1"/>
    <col min="4" max="4" width="10" style="49" customWidth="1"/>
    <col min="5" max="5" width="9.69921875" style="49" customWidth="1"/>
    <col min="6" max="6" width="11.19921875" style="49" customWidth="1"/>
    <col min="7" max="7" width="8.19921875" style="49" customWidth="1"/>
    <col min="8" max="16384" width="8.69921875" style="34"/>
  </cols>
  <sheetData>
    <row r="1" spans="1:7" ht="24" x14ac:dyDescent="0.25">
      <c r="A1" s="50" t="s">
        <v>67</v>
      </c>
      <c r="B1" s="50" t="s">
        <v>68</v>
      </c>
      <c r="C1" s="50" t="s">
        <v>8</v>
      </c>
      <c r="D1" s="50" t="s">
        <v>69</v>
      </c>
      <c r="E1" s="50" t="s">
        <v>70</v>
      </c>
      <c r="F1" s="50" t="s">
        <v>71</v>
      </c>
      <c r="G1" s="50" t="s">
        <v>72</v>
      </c>
    </row>
    <row r="2" spans="1:7" x14ac:dyDescent="0.25">
      <c r="A2" s="51" t="s">
        <v>73</v>
      </c>
      <c r="B2" s="51" t="s">
        <v>74</v>
      </c>
      <c r="C2" s="51" t="s">
        <v>75</v>
      </c>
      <c r="D2" s="51" t="s">
        <v>76</v>
      </c>
      <c r="E2" s="51" t="s">
        <v>77</v>
      </c>
      <c r="F2" s="51" t="s">
        <v>78</v>
      </c>
      <c r="G2" s="51" t="s">
        <v>77</v>
      </c>
    </row>
    <row r="3" spans="1:7" x14ac:dyDescent="0.25">
      <c r="A3" s="51" t="s">
        <v>79</v>
      </c>
      <c r="B3" s="51" t="s">
        <v>80</v>
      </c>
      <c r="C3" s="51" t="s">
        <v>75</v>
      </c>
      <c r="D3" s="51" t="s">
        <v>76</v>
      </c>
      <c r="E3" s="51" t="s">
        <v>77</v>
      </c>
      <c r="F3" s="51" t="s">
        <v>78</v>
      </c>
      <c r="G3" s="51" t="s">
        <v>77</v>
      </c>
    </row>
    <row r="4" spans="1:7" x14ac:dyDescent="0.25">
      <c r="A4" s="51" t="s">
        <v>81</v>
      </c>
      <c r="B4" s="51" t="s">
        <v>82</v>
      </c>
      <c r="C4" s="51" t="s">
        <v>75</v>
      </c>
      <c r="D4" s="51" t="s">
        <v>76</v>
      </c>
      <c r="E4" s="51" t="s">
        <v>77</v>
      </c>
      <c r="F4" s="51" t="s">
        <v>78</v>
      </c>
      <c r="G4" s="51" t="s">
        <v>77</v>
      </c>
    </row>
    <row r="5" spans="1:7" x14ac:dyDescent="0.25">
      <c r="A5" s="51" t="s">
        <v>83</v>
      </c>
      <c r="B5" s="51" t="s">
        <v>84</v>
      </c>
      <c r="C5" s="51" t="s">
        <v>85</v>
      </c>
      <c r="D5" s="51" t="s">
        <v>86</v>
      </c>
      <c r="E5" s="51" t="s">
        <v>87</v>
      </c>
      <c r="F5" s="51" t="s">
        <v>88</v>
      </c>
      <c r="G5" s="51" t="s">
        <v>89</v>
      </c>
    </row>
    <row r="6" spans="1:7" x14ac:dyDescent="0.25">
      <c r="A6" s="51" t="s">
        <v>90</v>
      </c>
      <c r="B6" s="51" t="s">
        <v>91</v>
      </c>
      <c r="C6" s="51" t="s">
        <v>92</v>
      </c>
      <c r="D6" s="51" t="s">
        <v>93</v>
      </c>
      <c r="E6" s="51" t="s">
        <v>94</v>
      </c>
      <c r="F6" s="51" t="s">
        <v>95</v>
      </c>
      <c r="G6" s="51" t="s">
        <v>89</v>
      </c>
    </row>
    <row r="7" spans="1:7" x14ac:dyDescent="0.25">
      <c r="A7" s="51" t="s">
        <v>96</v>
      </c>
      <c r="B7" s="51" t="s">
        <v>97</v>
      </c>
      <c r="C7" s="51" t="s">
        <v>98</v>
      </c>
      <c r="D7" s="51" t="s">
        <v>99</v>
      </c>
      <c r="E7" s="51" t="s">
        <v>94</v>
      </c>
      <c r="F7" s="51" t="s">
        <v>100</v>
      </c>
      <c r="G7" s="51" t="s">
        <v>77</v>
      </c>
    </row>
    <row r="8" spans="1:7" x14ac:dyDescent="0.25">
      <c r="A8" s="51" t="s">
        <v>101</v>
      </c>
      <c r="B8" s="51" t="s">
        <v>102</v>
      </c>
      <c r="C8" s="51" t="s">
        <v>92</v>
      </c>
      <c r="D8" s="51" t="s">
        <v>103</v>
      </c>
      <c r="E8" s="51" t="s">
        <v>94</v>
      </c>
      <c r="F8" s="51" t="s">
        <v>104</v>
      </c>
      <c r="G8" s="51" t="s">
        <v>89</v>
      </c>
    </row>
    <row r="9" spans="1:7" x14ac:dyDescent="0.25">
      <c r="A9" s="51" t="s">
        <v>105</v>
      </c>
      <c r="B9" s="51" t="s">
        <v>106</v>
      </c>
      <c r="C9" s="51" t="s">
        <v>107</v>
      </c>
      <c r="D9" s="51" t="s">
        <v>103</v>
      </c>
      <c r="E9" s="51" t="s">
        <v>108</v>
      </c>
      <c r="F9" s="51" t="s">
        <v>109</v>
      </c>
      <c r="G9" s="51" t="s">
        <v>110</v>
      </c>
    </row>
    <row r="10" spans="1:7" x14ac:dyDescent="0.25">
      <c r="A10" s="51" t="s">
        <v>111</v>
      </c>
      <c r="B10" s="51" t="s">
        <v>112</v>
      </c>
      <c r="C10" s="51" t="s">
        <v>113</v>
      </c>
      <c r="D10" s="51" t="s">
        <v>103</v>
      </c>
      <c r="E10" s="51" t="s">
        <v>94</v>
      </c>
      <c r="F10" s="51" t="s">
        <v>114</v>
      </c>
      <c r="G10" s="51" t="s">
        <v>115</v>
      </c>
    </row>
    <row r="11" spans="1:7" x14ac:dyDescent="0.25">
      <c r="A11" s="51" t="s">
        <v>116</v>
      </c>
      <c r="B11" s="51" t="s">
        <v>117</v>
      </c>
      <c r="C11" s="51" t="s">
        <v>113</v>
      </c>
      <c r="D11" s="51" t="s">
        <v>103</v>
      </c>
      <c r="E11" s="51" t="s">
        <v>94</v>
      </c>
      <c r="F11" s="51" t="s">
        <v>114</v>
      </c>
      <c r="G11" s="51" t="s">
        <v>115</v>
      </c>
    </row>
    <row r="12" spans="1:7" x14ac:dyDescent="0.25">
      <c r="A12" s="51" t="s">
        <v>118</v>
      </c>
      <c r="B12" s="51" t="s">
        <v>119</v>
      </c>
      <c r="C12" s="51" t="s">
        <v>85</v>
      </c>
      <c r="D12" s="51" t="s">
        <v>103</v>
      </c>
      <c r="E12" s="51" t="s">
        <v>88</v>
      </c>
      <c r="F12" s="51" t="s">
        <v>87</v>
      </c>
      <c r="G12" s="51" t="s">
        <v>120</v>
      </c>
    </row>
    <row r="13" spans="1:7" x14ac:dyDescent="0.25">
      <c r="A13" s="51" t="s">
        <v>121</v>
      </c>
      <c r="B13" s="51" t="s">
        <v>122</v>
      </c>
      <c r="C13" s="51" t="s">
        <v>92</v>
      </c>
      <c r="D13" s="51" t="s">
        <v>103</v>
      </c>
      <c r="E13" s="51" t="s">
        <v>94</v>
      </c>
      <c r="F13" s="51" t="s">
        <v>95</v>
      </c>
      <c r="G13" s="51" t="s">
        <v>89</v>
      </c>
    </row>
    <row r="14" spans="1:7" x14ac:dyDescent="0.25">
      <c r="A14" s="51" t="s">
        <v>123</v>
      </c>
      <c r="B14" s="51" t="s">
        <v>124</v>
      </c>
      <c r="C14" s="51" t="s">
        <v>98</v>
      </c>
      <c r="D14" s="51" t="s">
        <v>103</v>
      </c>
      <c r="E14" s="51" t="s">
        <v>125</v>
      </c>
      <c r="F14" s="51" t="s">
        <v>126</v>
      </c>
      <c r="G14" s="51" t="s">
        <v>89</v>
      </c>
    </row>
    <row r="15" spans="1:7" x14ac:dyDescent="0.25">
      <c r="A15" s="51" t="s">
        <v>127</v>
      </c>
      <c r="B15" s="51" t="s">
        <v>128</v>
      </c>
      <c r="C15" s="51" t="s">
        <v>92</v>
      </c>
      <c r="D15" s="51" t="s">
        <v>103</v>
      </c>
      <c r="E15" s="51" t="s">
        <v>77</v>
      </c>
      <c r="F15" s="51" t="s">
        <v>129</v>
      </c>
      <c r="G15" s="51" t="s">
        <v>89</v>
      </c>
    </row>
    <row r="16" spans="1:7" x14ac:dyDescent="0.25">
      <c r="A16" s="51" t="s">
        <v>130</v>
      </c>
      <c r="B16" s="51" t="s">
        <v>131</v>
      </c>
      <c r="C16" s="51" t="s">
        <v>92</v>
      </c>
      <c r="D16" s="51" t="s">
        <v>103</v>
      </c>
      <c r="E16" s="51" t="s">
        <v>94</v>
      </c>
      <c r="F16" s="51" t="s">
        <v>95</v>
      </c>
      <c r="G16" s="51" t="s">
        <v>89</v>
      </c>
    </row>
    <row r="17" spans="1:7" x14ac:dyDescent="0.25">
      <c r="A17" s="51" t="s">
        <v>132</v>
      </c>
      <c r="B17" s="51" t="s">
        <v>133</v>
      </c>
      <c r="C17" s="51" t="s">
        <v>134</v>
      </c>
      <c r="D17" s="51" t="s">
        <v>103</v>
      </c>
      <c r="E17" s="51" t="s">
        <v>88</v>
      </c>
      <c r="F17" s="51" t="s">
        <v>87</v>
      </c>
      <c r="G17" s="51" t="s">
        <v>89</v>
      </c>
    </row>
    <row r="18" spans="1:7" x14ac:dyDescent="0.25">
      <c r="A18" s="51" t="s">
        <v>135</v>
      </c>
      <c r="B18" s="51" t="s">
        <v>136</v>
      </c>
      <c r="C18" s="51" t="s">
        <v>137</v>
      </c>
      <c r="D18" s="51" t="s">
        <v>86</v>
      </c>
      <c r="E18" s="51" t="s">
        <v>138</v>
      </c>
      <c r="F18" s="51" t="s">
        <v>139</v>
      </c>
      <c r="G18" s="51" t="s">
        <v>140</v>
      </c>
    </row>
    <row r="19" spans="1:7" x14ac:dyDescent="0.25">
      <c r="A19" s="51" t="s">
        <v>141</v>
      </c>
      <c r="B19" s="51" t="s">
        <v>142</v>
      </c>
      <c r="C19" s="51" t="s">
        <v>107</v>
      </c>
      <c r="D19" s="51" t="s">
        <v>103</v>
      </c>
      <c r="E19" s="51" t="s">
        <v>108</v>
      </c>
      <c r="F19" s="51" t="s">
        <v>129</v>
      </c>
      <c r="G19" s="51" t="s">
        <v>143</v>
      </c>
    </row>
    <row r="20" spans="1:7" x14ac:dyDescent="0.25">
      <c r="A20" s="51" t="s">
        <v>144</v>
      </c>
      <c r="B20" s="51" t="s">
        <v>145</v>
      </c>
      <c r="C20" s="51" t="s">
        <v>107</v>
      </c>
      <c r="D20" s="51" t="s">
        <v>93</v>
      </c>
      <c r="E20" s="51" t="s">
        <v>108</v>
      </c>
      <c r="F20" s="51" t="s">
        <v>129</v>
      </c>
      <c r="G20" s="51" t="s">
        <v>146</v>
      </c>
    </row>
    <row r="21" spans="1:7" x14ac:dyDescent="0.25">
      <c r="A21" s="51" t="s">
        <v>147</v>
      </c>
      <c r="B21" s="51" t="s">
        <v>148</v>
      </c>
      <c r="C21" s="51" t="s">
        <v>107</v>
      </c>
      <c r="D21" s="51" t="s">
        <v>93</v>
      </c>
      <c r="E21" s="51" t="s">
        <v>108</v>
      </c>
      <c r="F21" s="51" t="s">
        <v>129</v>
      </c>
      <c r="G21" s="51" t="s">
        <v>110</v>
      </c>
    </row>
    <row r="22" spans="1:7" x14ac:dyDescent="0.25">
      <c r="A22" s="51" t="s">
        <v>149</v>
      </c>
      <c r="B22" s="51" t="s">
        <v>150</v>
      </c>
      <c r="C22" s="51" t="s">
        <v>107</v>
      </c>
      <c r="D22" s="51" t="s">
        <v>93</v>
      </c>
      <c r="E22" s="51" t="s">
        <v>108</v>
      </c>
      <c r="F22" s="51" t="s">
        <v>129</v>
      </c>
      <c r="G22" s="51" t="s">
        <v>110</v>
      </c>
    </row>
    <row r="23" spans="1:7" x14ac:dyDescent="0.25">
      <c r="A23" s="51" t="s">
        <v>151</v>
      </c>
      <c r="B23" s="51" t="s">
        <v>152</v>
      </c>
      <c r="C23" s="51" t="s">
        <v>107</v>
      </c>
      <c r="D23" s="51" t="s">
        <v>93</v>
      </c>
      <c r="E23" s="51" t="s">
        <v>108</v>
      </c>
      <c r="F23" s="51" t="s">
        <v>129</v>
      </c>
      <c r="G23" s="51" t="s">
        <v>146</v>
      </c>
    </row>
    <row r="24" spans="1:7" x14ac:dyDescent="0.25">
      <c r="A24" s="51" t="s">
        <v>153</v>
      </c>
      <c r="B24" s="51" t="s">
        <v>154</v>
      </c>
      <c r="C24" s="51" t="s">
        <v>107</v>
      </c>
      <c r="D24" s="51" t="s">
        <v>93</v>
      </c>
      <c r="E24" s="51" t="s">
        <v>108</v>
      </c>
      <c r="F24" s="51" t="s">
        <v>129</v>
      </c>
      <c r="G24" s="51" t="s">
        <v>155</v>
      </c>
    </row>
    <row r="25" spans="1:7" x14ac:dyDescent="0.25">
      <c r="A25" s="51" t="s">
        <v>156</v>
      </c>
      <c r="B25" s="51" t="s">
        <v>157</v>
      </c>
      <c r="C25" s="51" t="s">
        <v>107</v>
      </c>
      <c r="D25" s="51" t="s">
        <v>93</v>
      </c>
      <c r="E25" s="51" t="s">
        <v>108</v>
      </c>
      <c r="F25" s="51" t="s">
        <v>129</v>
      </c>
      <c r="G25" s="51" t="s">
        <v>140</v>
      </c>
    </row>
    <row r="26" spans="1:7" x14ac:dyDescent="0.25">
      <c r="A26" s="51" t="s">
        <v>158</v>
      </c>
      <c r="B26" s="51" t="s">
        <v>159</v>
      </c>
      <c r="C26" s="51" t="s">
        <v>107</v>
      </c>
      <c r="D26" s="51" t="s">
        <v>93</v>
      </c>
      <c r="E26" s="51" t="s">
        <v>108</v>
      </c>
      <c r="F26" s="51" t="s">
        <v>129</v>
      </c>
      <c r="G26" s="51" t="s">
        <v>140</v>
      </c>
    </row>
    <row r="27" spans="1:7" x14ac:dyDescent="0.25">
      <c r="A27" s="51" t="s">
        <v>160</v>
      </c>
      <c r="B27" s="51" t="s">
        <v>161</v>
      </c>
      <c r="C27" s="51" t="s">
        <v>162</v>
      </c>
      <c r="D27" s="51" t="s">
        <v>93</v>
      </c>
      <c r="E27" s="51" t="s">
        <v>108</v>
      </c>
      <c r="F27" s="51" t="s">
        <v>129</v>
      </c>
      <c r="G27" s="51" t="s">
        <v>163</v>
      </c>
    </row>
    <row r="28" spans="1:7" x14ac:dyDescent="0.25">
      <c r="A28" s="51" t="s">
        <v>164</v>
      </c>
      <c r="B28" s="51" t="s">
        <v>165</v>
      </c>
      <c r="C28" s="51" t="s">
        <v>162</v>
      </c>
      <c r="D28" s="51" t="s">
        <v>93</v>
      </c>
      <c r="E28" s="51" t="s">
        <v>108</v>
      </c>
      <c r="F28" s="51" t="s">
        <v>129</v>
      </c>
      <c r="G28" s="51" t="s">
        <v>163</v>
      </c>
    </row>
    <row r="29" spans="1:7" x14ac:dyDescent="0.25">
      <c r="A29" s="51" t="s">
        <v>166</v>
      </c>
      <c r="B29" s="51" t="s">
        <v>167</v>
      </c>
      <c r="C29" s="51" t="s">
        <v>162</v>
      </c>
      <c r="D29" s="51" t="s">
        <v>93</v>
      </c>
      <c r="E29" s="51" t="s">
        <v>108</v>
      </c>
      <c r="F29" s="51" t="s">
        <v>129</v>
      </c>
      <c r="G29" s="51" t="s">
        <v>163</v>
      </c>
    </row>
    <row r="30" spans="1:7" x14ac:dyDescent="0.25">
      <c r="A30" s="51" t="s">
        <v>168</v>
      </c>
      <c r="B30" s="51" t="s">
        <v>169</v>
      </c>
      <c r="C30" s="51" t="s">
        <v>107</v>
      </c>
      <c r="D30" s="51" t="s">
        <v>93</v>
      </c>
      <c r="E30" s="51" t="s">
        <v>108</v>
      </c>
      <c r="F30" s="51" t="s">
        <v>129</v>
      </c>
      <c r="G30" s="51" t="s">
        <v>146</v>
      </c>
    </row>
    <row r="31" spans="1:7" x14ac:dyDescent="0.25">
      <c r="A31" s="51" t="s">
        <v>170</v>
      </c>
      <c r="B31" s="51" t="s">
        <v>171</v>
      </c>
      <c r="C31" s="51" t="s">
        <v>162</v>
      </c>
      <c r="D31" s="51" t="s">
        <v>103</v>
      </c>
      <c r="E31" s="51" t="s">
        <v>108</v>
      </c>
      <c r="F31" s="51" t="s">
        <v>129</v>
      </c>
      <c r="G31" s="51" t="s">
        <v>163</v>
      </c>
    </row>
    <row r="32" spans="1:7" x14ac:dyDescent="0.25">
      <c r="A32" s="51" t="s">
        <v>172</v>
      </c>
      <c r="B32" s="51" t="s">
        <v>173</v>
      </c>
      <c r="C32" s="51" t="s">
        <v>174</v>
      </c>
      <c r="D32" s="51" t="s">
        <v>103</v>
      </c>
      <c r="E32" s="51" t="s">
        <v>126</v>
      </c>
      <c r="F32" s="51" t="s">
        <v>125</v>
      </c>
      <c r="G32" s="51" t="s">
        <v>155</v>
      </c>
    </row>
    <row r="33" spans="1:7" x14ac:dyDescent="0.25">
      <c r="A33" s="51" t="s">
        <v>175</v>
      </c>
      <c r="B33" s="51" t="s">
        <v>176</v>
      </c>
      <c r="C33" s="51" t="s">
        <v>107</v>
      </c>
      <c r="D33" s="51" t="s">
        <v>103</v>
      </c>
      <c r="E33" s="51" t="s">
        <v>108</v>
      </c>
      <c r="F33" s="51" t="s">
        <v>129</v>
      </c>
      <c r="G33" s="51" t="s">
        <v>143</v>
      </c>
    </row>
    <row r="34" spans="1:7" x14ac:dyDescent="0.25">
      <c r="A34" s="51" t="s">
        <v>177</v>
      </c>
      <c r="B34" s="51" t="s">
        <v>178</v>
      </c>
      <c r="C34" s="51" t="s">
        <v>179</v>
      </c>
      <c r="D34" s="51" t="s">
        <v>103</v>
      </c>
      <c r="E34" s="51" t="s">
        <v>94</v>
      </c>
      <c r="F34" s="51" t="s">
        <v>104</v>
      </c>
      <c r="G34" s="51" t="s">
        <v>140</v>
      </c>
    </row>
    <row r="35" spans="1:7" x14ac:dyDescent="0.25">
      <c r="A35" s="51" t="s">
        <v>180</v>
      </c>
      <c r="B35" s="51" t="s">
        <v>181</v>
      </c>
      <c r="C35" s="51" t="s">
        <v>179</v>
      </c>
      <c r="D35" s="51" t="s">
        <v>103</v>
      </c>
      <c r="E35" s="51" t="s">
        <v>94</v>
      </c>
      <c r="F35" s="51" t="s">
        <v>104</v>
      </c>
      <c r="G35" s="51" t="s">
        <v>140</v>
      </c>
    </row>
    <row r="36" spans="1:7" x14ac:dyDescent="0.25">
      <c r="A36" s="51" t="s">
        <v>182</v>
      </c>
      <c r="B36" s="51" t="s">
        <v>183</v>
      </c>
      <c r="C36" s="51" t="s">
        <v>179</v>
      </c>
      <c r="D36" s="51" t="s">
        <v>103</v>
      </c>
      <c r="E36" s="51" t="s">
        <v>94</v>
      </c>
      <c r="F36" s="51" t="s">
        <v>104</v>
      </c>
      <c r="G36" s="51" t="s">
        <v>140</v>
      </c>
    </row>
    <row r="37" spans="1:7" x14ac:dyDescent="0.25">
      <c r="A37" s="51" t="s">
        <v>184</v>
      </c>
      <c r="B37" s="51" t="s">
        <v>185</v>
      </c>
      <c r="C37" s="51" t="s">
        <v>179</v>
      </c>
      <c r="D37" s="51" t="s">
        <v>103</v>
      </c>
      <c r="E37" s="51" t="s">
        <v>94</v>
      </c>
      <c r="F37" s="51" t="s">
        <v>104</v>
      </c>
      <c r="G37" s="51" t="s">
        <v>140</v>
      </c>
    </row>
    <row r="38" spans="1:7" x14ac:dyDescent="0.25">
      <c r="A38" s="51" t="s">
        <v>186</v>
      </c>
      <c r="B38" s="51" t="s">
        <v>187</v>
      </c>
      <c r="C38" s="51" t="s">
        <v>188</v>
      </c>
      <c r="D38" s="51" t="s">
        <v>86</v>
      </c>
      <c r="E38" s="51" t="s">
        <v>138</v>
      </c>
      <c r="F38" s="51" t="s">
        <v>139</v>
      </c>
      <c r="G38" s="51" t="s">
        <v>189</v>
      </c>
    </row>
    <row r="39" spans="1:7" x14ac:dyDescent="0.25">
      <c r="A39" s="51" t="s">
        <v>190</v>
      </c>
      <c r="B39" s="51" t="s">
        <v>191</v>
      </c>
      <c r="C39" s="51" t="s">
        <v>188</v>
      </c>
      <c r="D39" s="51" t="s">
        <v>99</v>
      </c>
      <c r="E39" s="51" t="s">
        <v>139</v>
      </c>
      <c r="F39" s="51" t="s">
        <v>138</v>
      </c>
      <c r="G39" s="51" t="s">
        <v>120</v>
      </c>
    </row>
    <row r="40" spans="1:7" x14ac:dyDescent="0.25">
      <c r="A40" s="51" t="s">
        <v>192</v>
      </c>
      <c r="B40" s="51" t="s">
        <v>193</v>
      </c>
      <c r="C40" s="51" t="s">
        <v>194</v>
      </c>
      <c r="D40" s="51" t="s">
        <v>99</v>
      </c>
      <c r="E40" s="51" t="s">
        <v>195</v>
      </c>
      <c r="F40" s="51" t="s">
        <v>78</v>
      </c>
      <c r="G40" s="51" t="s">
        <v>195</v>
      </c>
    </row>
    <row r="41" spans="1:7" x14ac:dyDescent="0.25">
      <c r="A41" s="51" t="s">
        <v>196</v>
      </c>
      <c r="B41" s="51" t="s">
        <v>197</v>
      </c>
      <c r="C41" s="51" t="s">
        <v>194</v>
      </c>
      <c r="D41" s="51" t="s">
        <v>99</v>
      </c>
      <c r="E41" s="51" t="s">
        <v>198</v>
      </c>
      <c r="F41" s="51" t="s">
        <v>78</v>
      </c>
      <c r="G41" s="51" t="s">
        <v>199</v>
      </c>
    </row>
    <row r="42" spans="1:7" x14ac:dyDescent="0.25">
      <c r="A42" s="51" t="s">
        <v>200</v>
      </c>
      <c r="B42" s="51" t="s">
        <v>201</v>
      </c>
      <c r="C42" s="51" t="s">
        <v>194</v>
      </c>
      <c r="D42" s="51" t="s">
        <v>99</v>
      </c>
      <c r="E42" s="51" t="s">
        <v>202</v>
      </c>
      <c r="F42" s="51" t="s">
        <v>78</v>
      </c>
      <c r="G42" s="51" t="s">
        <v>199</v>
      </c>
    </row>
    <row r="43" spans="1:7" x14ac:dyDescent="0.25">
      <c r="A43" s="51" t="s">
        <v>203</v>
      </c>
      <c r="B43" s="51" t="s">
        <v>204</v>
      </c>
      <c r="C43" s="51" t="s">
        <v>194</v>
      </c>
      <c r="D43" s="51" t="s">
        <v>99</v>
      </c>
      <c r="E43" s="51" t="s">
        <v>205</v>
      </c>
      <c r="F43" s="51" t="s">
        <v>78</v>
      </c>
      <c r="G43" s="51" t="s">
        <v>199</v>
      </c>
    </row>
    <row r="44" spans="1:7" x14ac:dyDescent="0.25">
      <c r="A44" s="51" t="s">
        <v>206</v>
      </c>
      <c r="B44" s="51" t="s">
        <v>207</v>
      </c>
      <c r="C44" s="51" t="s">
        <v>194</v>
      </c>
      <c r="D44" s="51" t="s">
        <v>99</v>
      </c>
      <c r="E44" s="51" t="s">
        <v>208</v>
      </c>
      <c r="F44" s="51" t="s">
        <v>78</v>
      </c>
      <c r="G44" s="51" t="s">
        <v>209</v>
      </c>
    </row>
    <row r="45" spans="1:7" x14ac:dyDescent="0.25">
      <c r="A45" s="51" t="s">
        <v>210</v>
      </c>
      <c r="B45" s="51" t="s">
        <v>211</v>
      </c>
      <c r="C45" s="51" t="s">
        <v>194</v>
      </c>
      <c r="D45" s="51" t="s">
        <v>99</v>
      </c>
      <c r="E45" s="51" t="s">
        <v>212</v>
      </c>
      <c r="F45" s="51" t="s">
        <v>78</v>
      </c>
      <c r="G45" s="51" t="s">
        <v>209</v>
      </c>
    </row>
    <row r="46" spans="1:7" x14ac:dyDescent="0.25">
      <c r="A46" s="51" t="s">
        <v>213</v>
      </c>
      <c r="B46" s="51" t="s">
        <v>214</v>
      </c>
      <c r="C46" s="51" t="s">
        <v>194</v>
      </c>
      <c r="D46" s="51" t="s">
        <v>99</v>
      </c>
      <c r="E46" s="51" t="s">
        <v>215</v>
      </c>
      <c r="F46" s="51" t="s">
        <v>78</v>
      </c>
      <c r="G46" s="51" t="s">
        <v>216</v>
      </c>
    </row>
    <row r="47" spans="1:7" x14ac:dyDescent="0.25">
      <c r="A47" s="51" t="s">
        <v>217</v>
      </c>
      <c r="B47" s="51" t="s">
        <v>218</v>
      </c>
      <c r="C47" s="51" t="s">
        <v>194</v>
      </c>
      <c r="D47" s="51" t="s">
        <v>99</v>
      </c>
      <c r="E47" s="51" t="s">
        <v>100</v>
      </c>
      <c r="F47" s="51" t="s">
        <v>78</v>
      </c>
      <c r="G47" s="51" t="s">
        <v>219</v>
      </c>
    </row>
    <row r="48" spans="1:7" x14ac:dyDescent="0.25">
      <c r="A48" s="51" t="s">
        <v>220</v>
      </c>
      <c r="B48" s="51" t="s">
        <v>221</v>
      </c>
      <c r="C48" s="51" t="s">
        <v>194</v>
      </c>
      <c r="D48" s="51" t="s">
        <v>99</v>
      </c>
      <c r="E48" s="51" t="s">
        <v>222</v>
      </c>
      <c r="F48" s="51" t="s">
        <v>78</v>
      </c>
      <c r="G48" s="51" t="s">
        <v>223</v>
      </c>
    </row>
    <row r="49" spans="1:7" x14ac:dyDescent="0.25">
      <c r="A49" s="51" t="s">
        <v>224</v>
      </c>
      <c r="B49" s="51" t="s">
        <v>225</v>
      </c>
      <c r="C49" s="51" t="s">
        <v>194</v>
      </c>
      <c r="D49" s="51" t="s">
        <v>99</v>
      </c>
      <c r="E49" s="51" t="s">
        <v>226</v>
      </c>
      <c r="F49" s="51" t="s">
        <v>78</v>
      </c>
      <c r="G49" s="51" t="s">
        <v>199</v>
      </c>
    </row>
    <row r="50" spans="1:7" x14ac:dyDescent="0.25">
      <c r="A50" s="51" t="s">
        <v>227</v>
      </c>
      <c r="B50" s="51" t="s">
        <v>228</v>
      </c>
      <c r="C50" s="51" t="s">
        <v>194</v>
      </c>
      <c r="D50" s="51" t="s">
        <v>99</v>
      </c>
      <c r="E50" s="51" t="s">
        <v>226</v>
      </c>
      <c r="F50" s="51" t="s">
        <v>78</v>
      </c>
      <c r="G50" s="51" t="s">
        <v>199</v>
      </c>
    </row>
    <row r="51" spans="1:7" x14ac:dyDescent="0.25">
      <c r="A51" s="51" t="s">
        <v>229</v>
      </c>
      <c r="B51" s="51" t="s">
        <v>230</v>
      </c>
      <c r="C51" s="51" t="s">
        <v>194</v>
      </c>
      <c r="D51" s="51" t="s">
        <v>99</v>
      </c>
      <c r="E51" s="51" t="s">
        <v>205</v>
      </c>
      <c r="F51" s="51" t="s">
        <v>78</v>
      </c>
      <c r="G51" s="51" t="s">
        <v>199</v>
      </c>
    </row>
    <row r="52" spans="1:7" x14ac:dyDescent="0.25">
      <c r="A52" s="51" t="s">
        <v>231</v>
      </c>
      <c r="B52" s="51" t="s">
        <v>232</v>
      </c>
      <c r="C52" s="51" t="s">
        <v>194</v>
      </c>
      <c r="D52" s="51" t="s">
        <v>99</v>
      </c>
      <c r="E52" s="51" t="s">
        <v>233</v>
      </c>
      <c r="F52" s="51" t="s">
        <v>78</v>
      </c>
      <c r="G52" s="51" t="s">
        <v>199</v>
      </c>
    </row>
    <row r="53" spans="1:7" x14ac:dyDescent="0.25">
      <c r="A53" s="51" t="s">
        <v>234</v>
      </c>
      <c r="B53" s="51" t="s">
        <v>235</v>
      </c>
      <c r="C53" s="51" t="s">
        <v>194</v>
      </c>
      <c r="D53" s="51" t="s">
        <v>99</v>
      </c>
      <c r="E53" s="51" t="s">
        <v>236</v>
      </c>
      <c r="F53" s="51" t="s">
        <v>78</v>
      </c>
      <c r="G53" s="51" t="s">
        <v>209</v>
      </c>
    </row>
    <row r="54" spans="1:7" x14ac:dyDescent="0.25">
      <c r="A54" s="51" t="s">
        <v>237</v>
      </c>
      <c r="B54" s="51" t="s">
        <v>238</v>
      </c>
      <c r="C54" s="51" t="s">
        <v>194</v>
      </c>
      <c r="D54" s="51" t="s">
        <v>99</v>
      </c>
      <c r="E54" s="51" t="s">
        <v>239</v>
      </c>
      <c r="F54" s="51" t="s">
        <v>78</v>
      </c>
      <c r="G54" s="51" t="s">
        <v>219</v>
      </c>
    </row>
    <row r="55" spans="1:7" x14ac:dyDescent="0.25">
      <c r="A55" s="51" t="s">
        <v>240</v>
      </c>
      <c r="B55" s="51" t="s">
        <v>241</v>
      </c>
      <c r="C55" s="51" t="s">
        <v>194</v>
      </c>
      <c r="D55" s="51" t="s">
        <v>99</v>
      </c>
      <c r="E55" s="51" t="s">
        <v>242</v>
      </c>
      <c r="F55" s="51" t="s">
        <v>78</v>
      </c>
      <c r="G55" s="51" t="s">
        <v>216</v>
      </c>
    </row>
    <row r="56" spans="1:7" x14ac:dyDescent="0.25">
      <c r="A56" s="51" t="s">
        <v>243</v>
      </c>
      <c r="B56" s="51" t="s">
        <v>244</v>
      </c>
      <c r="C56" s="51" t="s">
        <v>194</v>
      </c>
      <c r="D56" s="51" t="s">
        <v>99</v>
      </c>
      <c r="E56" s="51" t="s">
        <v>245</v>
      </c>
      <c r="F56" s="51" t="s">
        <v>78</v>
      </c>
      <c r="G56" s="51" t="s">
        <v>216</v>
      </c>
    </row>
    <row r="57" spans="1:7" x14ac:dyDescent="0.25">
      <c r="A57" s="51" t="s">
        <v>246</v>
      </c>
      <c r="B57" s="51" t="s">
        <v>247</v>
      </c>
      <c r="C57" s="51" t="s">
        <v>194</v>
      </c>
      <c r="D57" s="51" t="s">
        <v>99</v>
      </c>
      <c r="E57" s="51" t="s">
        <v>248</v>
      </c>
      <c r="F57" s="51" t="s">
        <v>78</v>
      </c>
      <c r="G57" s="51" t="s">
        <v>199</v>
      </c>
    </row>
    <row r="58" spans="1:7" x14ac:dyDescent="0.25">
      <c r="A58" s="51" t="s">
        <v>249</v>
      </c>
      <c r="B58" s="51" t="s">
        <v>250</v>
      </c>
      <c r="C58" s="51" t="s">
        <v>194</v>
      </c>
      <c r="D58" s="51" t="s">
        <v>99</v>
      </c>
      <c r="E58" s="51" t="s">
        <v>251</v>
      </c>
      <c r="F58" s="51" t="s">
        <v>78</v>
      </c>
      <c r="G58" s="51" t="s">
        <v>209</v>
      </c>
    </row>
    <row r="59" spans="1:7" x14ac:dyDescent="0.25">
      <c r="A59" s="51" t="s">
        <v>252</v>
      </c>
      <c r="B59" s="51" t="s">
        <v>253</v>
      </c>
      <c r="C59" s="51" t="s">
        <v>194</v>
      </c>
      <c r="D59" s="51" t="s">
        <v>99</v>
      </c>
      <c r="E59" s="51" t="s">
        <v>254</v>
      </c>
      <c r="F59" s="51" t="s">
        <v>78</v>
      </c>
      <c r="G59" s="51" t="s">
        <v>199</v>
      </c>
    </row>
    <row r="60" spans="1:7" x14ac:dyDescent="0.25">
      <c r="A60" s="52" t="s">
        <v>255</v>
      </c>
      <c r="B60" s="52" t="s">
        <v>256</v>
      </c>
      <c r="C60" s="52" t="s">
        <v>194</v>
      </c>
      <c r="D60" s="52" t="s">
        <v>99</v>
      </c>
      <c r="E60" s="52" t="s">
        <v>233</v>
      </c>
      <c r="F60" s="52" t="s">
        <v>78</v>
      </c>
      <c r="G60" s="52" t="s">
        <v>199</v>
      </c>
    </row>
    <row r="61" spans="1:7" x14ac:dyDescent="0.25">
      <c r="A61" s="51" t="s">
        <v>257</v>
      </c>
      <c r="B61" s="51" t="s">
        <v>258</v>
      </c>
      <c r="C61" s="51" t="s">
        <v>194</v>
      </c>
      <c r="D61" s="51" t="s">
        <v>99</v>
      </c>
      <c r="E61" s="51" t="s">
        <v>259</v>
      </c>
      <c r="F61" s="51" t="s">
        <v>78</v>
      </c>
      <c r="G61" s="51" t="s">
        <v>209</v>
      </c>
    </row>
    <row r="62" spans="1:7" x14ac:dyDescent="0.25">
      <c r="A62" s="51" t="s">
        <v>260</v>
      </c>
      <c r="B62" s="51" t="s">
        <v>261</v>
      </c>
      <c r="C62" s="51" t="s">
        <v>194</v>
      </c>
      <c r="D62" s="51" t="s">
        <v>99</v>
      </c>
      <c r="E62" s="51" t="s">
        <v>239</v>
      </c>
      <c r="F62" s="51" t="s">
        <v>78</v>
      </c>
      <c r="G62" s="51" t="s">
        <v>209</v>
      </c>
    </row>
    <row r="63" spans="1:7" x14ac:dyDescent="0.25">
      <c r="A63" s="51" t="s">
        <v>262</v>
      </c>
      <c r="B63" s="51" t="s">
        <v>263</v>
      </c>
      <c r="C63" s="51" t="s">
        <v>194</v>
      </c>
      <c r="D63" s="51" t="s">
        <v>99</v>
      </c>
      <c r="E63" s="51" t="s">
        <v>264</v>
      </c>
      <c r="F63" s="51" t="s">
        <v>78</v>
      </c>
      <c r="G63" s="51" t="s">
        <v>223</v>
      </c>
    </row>
    <row r="64" spans="1:7" x14ac:dyDescent="0.25">
      <c r="A64" s="51" t="s">
        <v>265</v>
      </c>
      <c r="B64" s="51" t="s">
        <v>266</v>
      </c>
      <c r="C64" s="51" t="s">
        <v>194</v>
      </c>
      <c r="D64" s="51" t="s">
        <v>99</v>
      </c>
      <c r="E64" s="51" t="s">
        <v>239</v>
      </c>
      <c r="F64" s="51" t="s">
        <v>78</v>
      </c>
      <c r="G64" s="51" t="s">
        <v>223</v>
      </c>
    </row>
    <row r="65" spans="1:7" x14ac:dyDescent="0.25">
      <c r="A65" s="51" t="s">
        <v>267</v>
      </c>
      <c r="B65" s="51" t="s">
        <v>268</v>
      </c>
      <c r="C65" s="51" t="s">
        <v>194</v>
      </c>
      <c r="D65" s="51" t="s">
        <v>99</v>
      </c>
      <c r="E65" s="51" t="s">
        <v>239</v>
      </c>
      <c r="F65" s="51" t="s">
        <v>78</v>
      </c>
      <c r="G65" s="51" t="s">
        <v>223</v>
      </c>
    </row>
    <row r="66" spans="1:7" x14ac:dyDescent="0.25">
      <c r="A66" s="51" t="s">
        <v>269</v>
      </c>
      <c r="B66" s="51" t="s">
        <v>270</v>
      </c>
      <c r="C66" s="51" t="s">
        <v>194</v>
      </c>
      <c r="D66" s="51" t="s">
        <v>99</v>
      </c>
      <c r="E66" s="51" t="s">
        <v>212</v>
      </c>
      <c r="F66" s="51" t="s">
        <v>78</v>
      </c>
      <c r="G66" s="51" t="s">
        <v>199</v>
      </c>
    </row>
    <row r="67" spans="1:7" x14ac:dyDescent="0.25">
      <c r="A67" s="51" t="s">
        <v>271</v>
      </c>
      <c r="B67" s="51" t="s">
        <v>272</v>
      </c>
      <c r="C67" s="51" t="s">
        <v>194</v>
      </c>
      <c r="D67" s="51" t="s">
        <v>99</v>
      </c>
      <c r="E67" s="51" t="s">
        <v>273</v>
      </c>
      <c r="F67" s="51" t="s">
        <v>78</v>
      </c>
      <c r="G67" s="53" t="s">
        <v>216</v>
      </c>
    </row>
    <row r="68" spans="1:7" x14ac:dyDescent="0.25">
      <c r="A68" s="51" t="s">
        <v>274</v>
      </c>
      <c r="B68" s="51" t="s">
        <v>275</v>
      </c>
      <c r="C68" s="51" t="s">
        <v>194</v>
      </c>
      <c r="D68" s="51" t="s">
        <v>99</v>
      </c>
      <c r="E68" s="51" t="s">
        <v>273</v>
      </c>
      <c r="F68" s="51" t="s">
        <v>78</v>
      </c>
      <c r="G68" s="53" t="s">
        <v>216</v>
      </c>
    </row>
    <row r="69" spans="1:7" x14ac:dyDescent="0.25">
      <c r="A69" s="51" t="s">
        <v>276</v>
      </c>
      <c r="B69" s="51" t="s">
        <v>277</v>
      </c>
      <c r="C69" s="51" t="s">
        <v>194</v>
      </c>
      <c r="D69" s="51" t="s">
        <v>99</v>
      </c>
      <c r="E69" s="51" t="s">
        <v>222</v>
      </c>
      <c r="F69" s="51" t="s">
        <v>78</v>
      </c>
      <c r="G69" s="53" t="s">
        <v>199</v>
      </c>
    </row>
    <row r="70" spans="1:7" x14ac:dyDescent="0.25">
      <c r="A70" s="51" t="s">
        <v>278</v>
      </c>
      <c r="B70" s="51" t="s">
        <v>279</v>
      </c>
      <c r="C70" s="51" t="s">
        <v>194</v>
      </c>
      <c r="D70" s="51" t="s">
        <v>99</v>
      </c>
      <c r="E70" s="51" t="s">
        <v>236</v>
      </c>
      <c r="F70" s="51" t="s">
        <v>78</v>
      </c>
      <c r="G70" s="53" t="s">
        <v>199</v>
      </c>
    </row>
    <row r="71" spans="1:7" x14ac:dyDescent="0.25">
      <c r="A71" s="51" t="s">
        <v>280</v>
      </c>
      <c r="B71" s="51" t="s">
        <v>281</v>
      </c>
      <c r="C71" s="51" t="s">
        <v>194</v>
      </c>
      <c r="D71" s="51" t="s">
        <v>99</v>
      </c>
      <c r="E71" s="51" t="s">
        <v>236</v>
      </c>
      <c r="F71" s="51" t="s">
        <v>78</v>
      </c>
      <c r="G71" s="53" t="s">
        <v>199</v>
      </c>
    </row>
    <row r="72" spans="1:7" x14ac:dyDescent="0.25">
      <c r="A72" s="51" t="s">
        <v>282</v>
      </c>
      <c r="B72" s="51" t="s">
        <v>283</v>
      </c>
      <c r="C72" s="51" t="s">
        <v>194</v>
      </c>
      <c r="D72" s="51" t="s">
        <v>99</v>
      </c>
      <c r="E72" s="51" t="s">
        <v>239</v>
      </c>
      <c r="F72" s="51" t="s">
        <v>78</v>
      </c>
      <c r="G72" s="51" t="s">
        <v>223</v>
      </c>
    </row>
    <row r="73" spans="1:7" x14ac:dyDescent="0.25">
      <c r="A73" s="51" t="s">
        <v>284</v>
      </c>
      <c r="B73" s="51" t="s">
        <v>285</v>
      </c>
      <c r="C73" s="51" t="s">
        <v>194</v>
      </c>
      <c r="D73" s="51" t="s">
        <v>99</v>
      </c>
      <c r="E73" s="51" t="s">
        <v>239</v>
      </c>
      <c r="F73" s="51" t="s">
        <v>78</v>
      </c>
      <c r="G73" s="51" t="s">
        <v>223</v>
      </c>
    </row>
    <row r="74" spans="1:7" x14ac:dyDescent="0.25">
      <c r="A74" s="52" t="s">
        <v>286</v>
      </c>
      <c r="B74" s="52" t="s">
        <v>287</v>
      </c>
      <c r="C74" s="52" t="s">
        <v>194</v>
      </c>
      <c r="D74" s="52" t="s">
        <v>99</v>
      </c>
      <c r="E74" s="52" t="s">
        <v>239</v>
      </c>
      <c r="F74" s="52" t="s">
        <v>78</v>
      </c>
      <c r="G74" s="52" t="s">
        <v>223</v>
      </c>
    </row>
    <row r="75" spans="1:7" x14ac:dyDescent="0.25">
      <c r="A75" s="52" t="s">
        <v>288</v>
      </c>
      <c r="B75" s="52" t="s">
        <v>289</v>
      </c>
      <c r="C75" s="52" t="s">
        <v>194</v>
      </c>
      <c r="D75" s="52" t="s">
        <v>99</v>
      </c>
      <c r="E75" s="52" t="s">
        <v>239</v>
      </c>
      <c r="F75" s="52" t="s">
        <v>78</v>
      </c>
      <c r="G75" s="52" t="s">
        <v>223</v>
      </c>
    </row>
    <row r="76" spans="1:7" x14ac:dyDescent="0.25">
      <c r="A76" s="51" t="s">
        <v>290</v>
      </c>
      <c r="B76" s="51" t="s">
        <v>291</v>
      </c>
      <c r="C76" s="51" t="s">
        <v>194</v>
      </c>
      <c r="D76" s="51" t="s">
        <v>99</v>
      </c>
      <c r="E76" s="51" t="s">
        <v>205</v>
      </c>
      <c r="F76" s="51" t="s">
        <v>78</v>
      </c>
      <c r="G76" s="51" t="s">
        <v>199</v>
      </c>
    </row>
    <row r="77" spans="1:7" x14ac:dyDescent="0.25">
      <c r="A77" s="51" t="s">
        <v>292</v>
      </c>
      <c r="B77" s="51" t="s">
        <v>293</v>
      </c>
      <c r="C77" s="51" t="s">
        <v>194</v>
      </c>
      <c r="D77" s="51" t="s">
        <v>99</v>
      </c>
      <c r="E77" s="51" t="s">
        <v>239</v>
      </c>
      <c r="F77" s="51" t="s">
        <v>78</v>
      </c>
      <c r="G77" s="53" t="s">
        <v>216</v>
      </c>
    </row>
    <row r="78" spans="1:7" x14ac:dyDescent="0.25">
      <c r="A78" s="51" t="s">
        <v>294</v>
      </c>
      <c r="B78" s="51" t="s">
        <v>295</v>
      </c>
      <c r="C78" s="51" t="s">
        <v>194</v>
      </c>
      <c r="D78" s="51" t="s">
        <v>99</v>
      </c>
      <c r="E78" s="51" t="s">
        <v>239</v>
      </c>
      <c r="F78" s="51" t="s">
        <v>78</v>
      </c>
      <c r="G78" s="53" t="s">
        <v>216</v>
      </c>
    </row>
    <row r="79" spans="1:7" x14ac:dyDescent="0.25">
      <c r="A79" s="51" t="s">
        <v>296</v>
      </c>
      <c r="B79" s="51" t="s">
        <v>297</v>
      </c>
      <c r="C79" s="51" t="s">
        <v>194</v>
      </c>
      <c r="D79" s="51" t="s">
        <v>99</v>
      </c>
      <c r="E79" s="51" t="s">
        <v>239</v>
      </c>
      <c r="F79" s="51" t="s">
        <v>78</v>
      </c>
      <c r="G79" s="53" t="s">
        <v>216</v>
      </c>
    </row>
    <row r="80" spans="1:7" x14ac:dyDescent="0.25">
      <c r="A80" s="51" t="s">
        <v>298</v>
      </c>
      <c r="B80" s="51" t="s">
        <v>299</v>
      </c>
      <c r="C80" s="51" t="s">
        <v>194</v>
      </c>
      <c r="D80" s="51" t="s">
        <v>99</v>
      </c>
      <c r="E80" s="51" t="s">
        <v>251</v>
      </c>
      <c r="F80" s="51" t="s">
        <v>78</v>
      </c>
      <c r="G80" s="51" t="s">
        <v>199</v>
      </c>
    </row>
    <row r="81" spans="1:7" x14ac:dyDescent="0.25">
      <c r="A81" s="51" t="s">
        <v>300</v>
      </c>
      <c r="B81" s="51" t="s">
        <v>301</v>
      </c>
      <c r="C81" s="51" t="s">
        <v>194</v>
      </c>
      <c r="D81" s="51" t="s">
        <v>99</v>
      </c>
      <c r="E81" s="51" t="s">
        <v>302</v>
      </c>
      <c r="F81" s="51"/>
      <c r="G81" s="51" t="s">
        <v>219</v>
      </c>
    </row>
    <row r="82" spans="1:7" x14ac:dyDescent="0.25">
      <c r="A82" s="51" t="s">
        <v>303</v>
      </c>
      <c r="B82" s="51" t="s">
        <v>304</v>
      </c>
      <c r="C82" s="51" t="s">
        <v>194</v>
      </c>
      <c r="D82" s="51" t="s">
        <v>99</v>
      </c>
      <c r="E82" s="51" t="s">
        <v>264</v>
      </c>
      <c r="F82" s="51"/>
      <c r="G82" s="51" t="s">
        <v>219</v>
      </c>
    </row>
    <row r="83" spans="1:7" x14ac:dyDescent="0.25">
      <c r="A83" s="51" t="s">
        <v>305</v>
      </c>
      <c r="B83" s="51" t="s">
        <v>306</v>
      </c>
      <c r="C83" s="51" t="s">
        <v>194</v>
      </c>
      <c r="D83" s="51" t="s">
        <v>99</v>
      </c>
      <c r="E83" s="51" t="s">
        <v>302</v>
      </c>
      <c r="F83" s="51"/>
      <c r="G83" s="51" t="s">
        <v>307</v>
      </c>
    </row>
    <row r="84" spans="1:7" x14ac:dyDescent="0.25">
      <c r="A84" s="51" t="s">
        <v>308</v>
      </c>
      <c r="B84" s="51" t="s">
        <v>309</v>
      </c>
      <c r="C84" s="51" t="s">
        <v>194</v>
      </c>
      <c r="D84" s="51" t="s">
        <v>99</v>
      </c>
      <c r="E84" s="51" t="s">
        <v>302</v>
      </c>
      <c r="F84" s="51"/>
      <c r="G84" s="51" t="s">
        <v>219</v>
      </c>
    </row>
    <row r="85" spans="1:7" x14ac:dyDescent="0.25">
      <c r="A85" s="51" t="s">
        <v>310</v>
      </c>
      <c r="B85" s="51" t="s">
        <v>311</v>
      </c>
      <c r="C85" s="51" t="s">
        <v>194</v>
      </c>
      <c r="D85" s="51" t="s">
        <v>99</v>
      </c>
      <c r="E85" s="51" t="s">
        <v>312</v>
      </c>
      <c r="F85" s="51" t="s">
        <v>78</v>
      </c>
      <c r="G85" s="51" t="s">
        <v>209</v>
      </c>
    </row>
    <row r="86" spans="1:7" x14ac:dyDescent="0.25">
      <c r="A86" s="51" t="s">
        <v>313</v>
      </c>
      <c r="B86" s="51" t="s">
        <v>314</v>
      </c>
      <c r="C86" s="51" t="s">
        <v>194</v>
      </c>
      <c r="D86" s="51" t="s">
        <v>99</v>
      </c>
      <c r="E86" s="51" t="s">
        <v>315</v>
      </c>
      <c r="F86" s="51" t="s">
        <v>78</v>
      </c>
      <c r="G86" s="51" t="s">
        <v>209</v>
      </c>
    </row>
    <row r="87" spans="1:7" x14ac:dyDescent="0.25">
      <c r="A87" s="51" t="s">
        <v>316</v>
      </c>
      <c r="B87" s="51" t="s">
        <v>317</v>
      </c>
      <c r="C87" s="51" t="s">
        <v>194</v>
      </c>
      <c r="D87" s="51" t="s">
        <v>99</v>
      </c>
      <c r="E87" s="51" t="s">
        <v>315</v>
      </c>
      <c r="F87" s="51" t="s">
        <v>78</v>
      </c>
      <c r="G87" s="51" t="s">
        <v>209</v>
      </c>
    </row>
    <row r="88" spans="1:7" x14ac:dyDescent="0.25">
      <c r="A88" s="52" t="s">
        <v>318</v>
      </c>
      <c r="B88" s="52" t="s">
        <v>319</v>
      </c>
      <c r="C88" s="52" t="s">
        <v>194</v>
      </c>
      <c r="D88" s="52" t="s">
        <v>99</v>
      </c>
      <c r="E88" s="52" t="s">
        <v>320</v>
      </c>
      <c r="F88" s="52" t="s">
        <v>78</v>
      </c>
      <c r="G88" s="52" t="s">
        <v>223</v>
      </c>
    </row>
    <row r="89" spans="1:7" x14ac:dyDescent="0.25">
      <c r="A89" s="51" t="s">
        <v>321</v>
      </c>
      <c r="B89" s="51" t="s">
        <v>322</v>
      </c>
      <c r="C89" s="51" t="s">
        <v>194</v>
      </c>
      <c r="D89" s="51" t="s">
        <v>99</v>
      </c>
      <c r="E89" s="51" t="s">
        <v>222</v>
      </c>
      <c r="F89" s="51" t="s">
        <v>78</v>
      </c>
      <c r="G89" s="51" t="s">
        <v>323</v>
      </c>
    </row>
    <row r="90" spans="1:7" x14ac:dyDescent="0.25">
      <c r="A90" s="51" t="s">
        <v>324</v>
      </c>
      <c r="B90" s="51" t="s">
        <v>325</v>
      </c>
      <c r="C90" s="51" t="s">
        <v>194</v>
      </c>
      <c r="D90" s="51" t="s">
        <v>99</v>
      </c>
      <c r="E90" s="51" t="s">
        <v>239</v>
      </c>
      <c r="F90" s="51" t="s">
        <v>78</v>
      </c>
      <c r="G90" s="51" t="s">
        <v>199</v>
      </c>
    </row>
    <row r="91" spans="1:7" x14ac:dyDescent="0.25">
      <c r="A91" s="51" t="s">
        <v>326</v>
      </c>
      <c r="B91" s="51" t="s">
        <v>327</v>
      </c>
      <c r="C91" s="51" t="s">
        <v>194</v>
      </c>
      <c r="D91" s="51" t="s">
        <v>99</v>
      </c>
      <c r="E91" s="51" t="s">
        <v>328</v>
      </c>
      <c r="F91" s="51" t="s">
        <v>78</v>
      </c>
      <c r="G91" s="51" t="s">
        <v>219</v>
      </c>
    </row>
    <row r="92" spans="1:7" x14ac:dyDescent="0.25">
      <c r="A92" s="51" t="s">
        <v>329</v>
      </c>
      <c r="B92" s="51" t="s">
        <v>330</v>
      </c>
      <c r="C92" s="51" t="s">
        <v>194</v>
      </c>
      <c r="D92" s="51" t="s">
        <v>99</v>
      </c>
      <c r="E92" s="51" t="s">
        <v>328</v>
      </c>
      <c r="F92" s="51" t="s">
        <v>78</v>
      </c>
      <c r="G92" s="51" t="s">
        <v>323</v>
      </c>
    </row>
    <row r="93" spans="1:7" x14ac:dyDescent="0.25">
      <c r="A93" s="51" t="s">
        <v>331</v>
      </c>
      <c r="B93" s="51" t="s">
        <v>332</v>
      </c>
      <c r="C93" s="51" t="s">
        <v>194</v>
      </c>
      <c r="D93" s="51" t="s">
        <v>99</v>
      </c>
      <c r="E93" s="54" t="s">
        <v>333</v>
      </c>
      <c r="F93" s="51" t="s">
        <v>100</v>
      </c>
      <c r="G93" s="51" t="s">
        <v>199</v>
      </c>
    </row>
    <row r="94" spans="1:7" x14ac:dyDescent="0.25">
      <c r="A94" s="51" t="s">
        <v>334</v>
      </c>
      <c r="B94" s="51" t="s">
        <v>335</v>
      </c>
      <c r="C94" s="51" t="s">
        <v>194</v>
      </c>
      <c r="D94" s="51" t="s">
        <v>99</v>
      </c>
      <c r="E94" s="54" t="s">
        <v>336</v>
      </c>
      <c r="F94" s="51" t="s">
        <v>336</v>
      </c>
      <c r="G94" s="51" t="s">
        <v>323</v>
      </c>
    </row>
    <row r="95" spans="1:7" x14ac:dyDescent="0.25">
      <c r="A95" s="51" t="s">
        <v>337</v>
      </c>
      <c r="B95" s="51" t="s">
        <v>338</v>
      </c>
      <c r="C95" s="51" t="s">
        <v>194</v>
      </c>
      <c r="D95" s="51" t="s">
        <v>99</v>
      </c>
      <c r="E95" s="54" t="s">
        <v>202</v>
      </c>
      <c r="F95" s="51" t="s">
        <v>202</v>
      </c>
      <c r="G95" s="51" t="s">
        <v>339</v>
      </c>
    </row>
    <row r="96" spans="1:7" x14ac:dyDescent="0.25">
      <c r="A96" s="51" t="s">
        <v>340</v>
      </c>
      <c r="B96" s="51" t="s">
        <v>341</v>
      </c>
      <c r="C96" s="51" t="s">
        <v>113</v>
      </c>
      <c r="D96" s="51" t="s">
        <v>103</v>
      </c>
      <c r="E96" s="51" t="s">
        <v>94</v>
      </c>
      <c r="F96" s="51" t="s">
        <v>114</v>
      </c>
      <c r="G96" s="51" t="s">
        <v>115</v>
      </c>
    </row>
    <row r="97" spans="1:7" x14ac:dyDescent="0.25">
      <c r="A97" s="51" t="s">
        <v>342</v>
      </c>
      <c r="B97" s="51" t="s">
        <v>343</v>
      </c>
      <c r="C97" s="51" t="s">
        <v>113</v>
      </c>
      <c r="D97" s="51" t="s">
        <v>103</v>
      </c>
      <c r="E97" s="51" t="s">
        <v>94</v>
      </c>
      <c r="F97" s="51" t="s">
        <v>114</v>
      </c>
      <c r="G97" s="51" t="s">
        <v>115</v>
      </c>
    </row>
    <row r="98" spans="1:7" x14ac:dyDescent="0.25">
      <c r="A98" s="51" t="s">
        <v>344</v>
      </c>
      <c r="B98" s="51" t="s">
        <v>345</v>
      </c>
      <c r="C98" s="51" t="s">
        <v>113</v>
      </c>
      <c r="D98" s="51" t="s">
        <v>103</v>
      </c>
      <c r="E98" s="51" t="s">
        <v>94</v>
      </c>
      <c r="F98" s="51" t="s">
        <v>114</v>
      </c>
      <c r="G98" s="51" t="s">
        <v>115</v>
      </c>
    </row>
    <row r="99" spans="1:7" x14ac:dyDescent="0.25">
      <c r="A99" s="51" t="s">
        <v>346</v>
      </c>
      <c r="B99" s="51" t="s">
        <v>347</v>
      </c>
      <c r="C99" s="51" t="s">
        <v>113</v>
      </c>
      <c r="D99" s="51" t="s">
        <v>103</v>
      </c>
      <c r="E99" s="51" t="s">
        <v>94</v>
      </c>
      <c r="F99" s="51" t="s">
        <v>114</v>
      </c>
      <c r="G99" s="51" t="s">
        <v>115</v>
      </c>
    </row>
    <row r="100" spans="1:7" x14ac:dyDescent="0.25">
      <c r="A100" s="51" t="s">
        <v>348</v>
      </c>
      <c r="B100" s="51" t="s">
        <v>349</v>
      </c>
      <c r="C100" s="51" t="s">
        <v>113</v>
      </c>
      <c r="D100" s="51" t="s">
        <v>103</v>
      </c>
      <c r="E100" s="51" t="s">
        <v>94</v>
      </c>
      <c r="F100" s="51" t="s">
        <v>114</v>
      </c>
      <c r="G100" s="51" t="s">
        <v>115</v>
      </c>
    </row>
    <row r="101" spans="1:7" x14ac:dyDescent="0.25">
      <c r="A101" s="51" t="s">
        <v>350</v>
      </c>
      <c r="B101" s="51" t="s">
        <v>351</v>
      </c>
      <c r="C101" s="51" t="s">
        <v>174</v>
      </c>
      <c r="D101" s="51" t="s">
        <v>103</v>
      </c>
      <c r="E101" s="51" t="s">
        <v>129</v>
      </c>
      <c r="F101" s="51" t="s">
        <v>108</v>
      </c>
      <c r="G101" s="51" t="s">
        <v>155</v>
      </c>
    </row>
    <row r="102" spans="1:7" x14ac:dyDescent="0.25">
      <c r="A102" s="51" t="s">
        <v>352</v>
      </c>
      <c r="B102" s="51" t="s">
        <v>353</v>
      </c>
      <c r="C102" s="51" t="s">
        <v>113</v>
      </c>
      <c r="D102" s="51" t="s">
        <v>103</v>
      </c>
      <c r="E102" s="51" t="s">
        <v>94</v>
      </c>
      <c r="F102" s="51" t="s">
        <v>114</v>
      </c>
      <c r="G102" s="51" t="s">
        <v>115</v>
      </c>
    </row>
    <row r="103" spans="1:7" x14ac:dyDescent="0.25">
      <c r="A103" s="51" t="s">
        <v>354</v>
      </c>
      <c r="B103" s="51" t="s">
        <v>355</v>
      </c>
      <c r="C103" s="51" t="s">
        <v>113</v>
      </c>
      <c r="D103" s="51" t="s">
        <v>103</v>
      </c>
      <c r="E103" s="51" t="s">
        <v>94</v>
      </c>
      <c r="F103" s="51" t="s">
        <v>114</v>
      </c>
      <c r="G103" s="51" t="s">
        <v>89</v>
      </c>
    </row>
    <row r="104" spans="1:7" x14ac:dyDescent="0.25">
      <c r="A104" s="51" t="s">
        <v>356</v>
      </c>
      <c r="B104" s="51" t="s">
        <v>357</v>
      </c>
      <c r="C104" s="51" t="s">
        <v>85</v>
      </c>
      <c r="D104" s="51" t="s">
        <v>103</v>
      </c>
      <c r="E104" s="51" t="s">
        <v>87</v>
      </c>
      <c r="F104" s="51" t="s">
        <v>88</v>
      </c>
      <c r="G104" s="51" t="s">
        <v>120</v>
      </c>
    </row>
    <row r="105" spans="1:7" x14ac:dyDescent="0.25">
      <c r="A105" s="51" t="s">
        <v>358</v>
      </c>
      <c r="B105" s="51" t="s">
        <v>359</v>
      </c>
      <c r="C105" s="51" t="s">
        <v>85</v>
      </c>
      <c r="D105" s="51" t="s">
        <v>103</v>
      </c>
      <c r="E105" s="51" t="s">
        <v>87</v>
      </c>
      <c r="F105" s="51" t="s">
        <v>88</v>
      </c>
      <c r="G105" s="51" t="s">
        <v>120</v>
      </c>
    </row>
    <row r="106" spans="1:7" x14ac:dyDescent="0.25">
      <c r="A106" s="51" t="s">
        <v>360</v>
      </c>
      <c r="B106" s="51" t="s">
        <v>361</v>
      </c>
      <c r="C106" s="51" t="s">
        <v>113</v>
      </c>
      <c r="D106" s="51" t="s">
        <v>103</v>
      </c>
      <c r="E106" s="51" t="s">
        <v>94</v>
      </c>
      <c r="F106" s="51" t="s">
        <v>114</v>
      </c>
      <c r="G106" s="51" t="s">
        <v>115</v>
      </c>
    </row>
    <row r="107" spans="1:7" x14ac:dyDescent="0.25">
      <c r="A107" s="51" t="s">
        <v>362</v>
      </c>
      <c r="B107" s="51" t="s">
        <v>363</v>
      </c>
      <c r="C107" s="51" t="s">
        <v>134</v>
      </c>
      <c r="D107" s="51" t="s">
        <v>103</v>
      </c>
      <c r="E107" s="51" t="s">
        <v>88</v>
      </c>
      <c r="F107" s="51" t="s">
        <v>87</v>
      </c>
      <c r="G107" s="51" t="s">
        <v>89</v>
      </c>
    </row>
    <row r="108" spans="1:7" x14ac:dyDescent="0.25">
      <c r="A108" s="51" t="s">
        <v>364</v>
      </c>
      <c r="B108" s="51" t="s">
        <v>365</v>
      </c>
      <c r="C108" s="51" t="s">
        <v>134</v>
      </c>
      <c r="D108" s="51" t="s">
        <v>103</v>
      </c>
      <c r="E108" s="51" t="s">
        <v>88</v>
      </c>
      <c r="F108" s="51" t="s">
        <v>87</v>
      </c>
      <c r="G108" s="51" t="s">
        <v>89</v>
      </c>
    </row>
    <row r="109" spans="1:7" x14ac:dyDescent="0.25">
      <c r="A109" s="51" t="s">
        <v>366</v>
      </c>
      <c r="B109" s="51" t="s">
        <v>367</v>
      </c>
      <c r="C109" s="51" t="s">
        <v>113</v>
      </c>
      <c r="D109" s="51" t="s">
        <v>103</v>
      </c>
      <c r="E109" s="51" t="s">
        <v>94</v>
      </c>
      <c r="F109" s="51" t="s">
        <v>114</v>
      </c>
      <c r="G109" s="51" t="s">
        <v>115</v>
      </c>
    </row>
    <row r="110" spans="1:7" x14ac:dyDescent="0.25">
      <c r="A110" s="52" t="s">
        <v>368</v>
      </c>
      <c r="B110" s="52" t="s">
        <v>369</v>
      </c>
      <c r="C110" s="52" t="s">
        <v>113</v>
      </c>
      <c r="D110" s="52" t="s">
        <v>103</v>
      </c>
      <c r="E110" s="52" t="s">
        <v>370</v>
      </c>
      <c r="F110" s="52" t="s">
        <v>94</v>
      </c>
      <c r="G110" s="52" t="s">
        <v>115</v>
      </c>
    </row>
    <row r="111" spans="1:7" x14ac:dyDescent="0.25">
      <c r="A111" s="52" t="s">
        <v>371</v>
      </c>
      <c r="B111" s="52" t="s">
        <v>372</v>
      </c>
      <c r="C111" s="52" t="s">
        <v>85</v>
      </c>
      <c r="D111" s="52" t="s">
        <v>103</v>
      </c>
      <c r="E111" s="52" t="s">
        <v>88</v>
      </c>
      <c r="F111" s="52" t="s">
        <v>87</v>
      </c>
      <c r="G111" s="52" t="s">
        <v>373</v>
      </c>
    </row>
    <row r="112" spans="1:7" x14ac:dyDescent="0.25">
      <c r="A112" s="51" t="s">
        <v>374</v>
      </c>
      <c r="B112" s="51" t="s">
        <v>375</v>
      </c>
      <c r="C112" s="51" t="s">
        <v>113</v>
      </c>
      <c r="D112" s="51" t="s">
        <v>103</v>
      </c>
      <c r="E112" s="51" t="s">
        <v>94</v>
      </c>
      <c r="F112" s="51" t="s">
        <v>114</v>
      </c>
      <c r="G112" s="51" t="s">
        <v>115</v>
      </c>
    </row>
    <row r="113" spans="1:7" x14ac:dyDescent="0.25">
      <c r="A113" s="52" t="s">
        <v>376</v>
      </c>
      <c r="B113" s="52" t="s">
        <v>377</v>
      </c>
      <c r="C113" s="52" t="s">
        <v>113</v>
      </c>
      <c r="D113" s="52" t="s">
        <v>103</v>
      </c>
      <c r="E113" s="52" t="s">
        <v>370</v>
      </c>
      <c r="F113" s="52" t="s">
        <v>94</v>
      </c>
      <c r="G113" s="52" t="s">
        <v>373</v>
      </c>
    </row>
    <row r="114" spans="1:7" x14ac:dyDescent="0.25">
      <c r="A114" s="52" t="s">
        <v>378</v>
      </c>
      <c r="B114" s="52" t="s">
        <v>379</v>
      </c>
      <c r="C114" s="52" t="s">
        <v>188</v>
      </c>
      <c r="D114" s="52" t="s">
        <v>86</v>
      </c>
      <c r="E114" s="52" t="s">
        <v>94</v>
      </c>
      <c r="F114" s="52" t="s">
        <v>370</v>
      </c>
      <c r="G114" s="52" t="s">
        <v>120</v>
      </c>
    </row>
    <row r="115" spans="1:7" x14ac:dyDescent="0.25">
      <c r="A115" s="51" t="s">
        <v>380</v>
      </c>
      <c r="B115" s="51" t="s">
        <v>381</v>
      </c>
      <c r="C115" s="51" t="s">
        <v>85</v>
      </c>
      <c r="D115" s="51" t="s">
        <v>103</v>
      </c>
      <c r="E115" s="51" t="s">
        <v>87</v>
      </c>
      <c r="F115" s="51" t="s">
        <v>88</v>
      </c>
      <c r="G115" s="51" t="s">
        <v>189</v>
      </c>
    </row>
    <row r="116" spans="1:7" x14ac:dyDescent="0.25">
      <c r="A116" s="52" t="s">
        <v>382</v>
      </c>
      <c r="B116" s="52" t="s">
        <v>383</v>
      </c>
      <c r="C116" s="52" t="s">
        <v>85</v>
      </c>
      <c r="D116" s="52" t="s">
        <v>103</v>
      </c>
      <c r="E116" s="52" t="s">
        <v>87</v>
      </c>
      <c r="F116" s="52" t="s">
        <v>88</v>
      </c>
      <c r="G116" s="52" t="s">
        <v>189</v>
      </c>
    </row>
    <row r="117" spans="1:7" x14ac:dyDescent="0.25">
      <c r="A117" s="52" t="s">
        <v>384</v>
      </c>
      <c r="B117" s="52" t="s">
        <v>385</v>
      </c>
      <c r="C117" s="52" t="s">
        <v>188</v>
      </c>
      <c r="D117" s="52" t="s">
        <v>103</v>
      </c>
      <c r="E117" s="52" t="s">
        <v>94</v>
      </c>
      <c r="F117" s="52" t="s">
        <v>370</v>
      </c>
      <c r="G117" s="52" t="s">
        <v>120</v>
      </c>
    </row>
    <row r="118" spans="1:7" x14ac:dyDescent="0.25">
      <c r="A118" s="51" t="s">
        <v>386</v>
      </c>
      <c r="B118" s="51" t="s">
        <v>387</v>
      </c>
      <c r="C118" s="51" t="s">
        <v>85</v>
      </c>
      <c r="D118" s="51" t="s">
        <v>103</v>
      </c>
      <c r="E118" s="51" t="s">
        <v>87</v>
      </c>
      <c r="F118" s="51" t="s">
        <v>88</v>
      </c>
      <c r="G118" s="51" t="s">
        <v>189</v>
      </c>
    </row>
    <row r="119" spans="1:7" x14ac:dyDescent="0.25">
      <c r="A119" s="52" t="s">
        <v>388</v>
      </c>
      <c r="B119" s="52" t="s">
        <v>389</v>
      </c>
      <c r="C119" s="52" t="s">
        <v>85</v>
      </c>
      <c r="D119" s="52" t="s">
        <v>103</v>
      </c>
      <c r="E119" s="52" t="s">
        <v>87</v>
      </c>
      <c r="F119" s="52" t="s">
        <v>88</v>
      </c>
      <c r="G119" s="52" t="s">
        <v>189</v>
      </c>
    </row>
    <row r="120" spans="1:7" x14ac:dyDescent="0.25">
      <c r="A120" s="52" t="s">
        <v>390</v>
      </c>
      <c r="B120" s="52" t="s">
        <v>391</v>
      </c>
      <c r="C120" s="52" t="s">
        <v>92</v>
      </c>
      <c r="D120" s="52" t="s">
        <v>103</v>
      </c>
      <c r="E120" s="52" t="s">
        <v>94</v>
      </c>
      <c r="F120" s="52" t="s">
        <v>370</v>
      </c>
      <c r="G120" s="52" t="s">
        <v>392</v>
      </c>
    </row>
    <row r="121" spans="1:7" x14ac:dyDescent="0.25">
      <c r="A121" s="51" t="s">
        <v>393</v>
      </c>
      <c r="B121" s="51" t="s">
        <v>394</v>
      </c>
      <c r="C121" s="51" t="s">
        <v>107</v>
      </c>
      <c r="D121" s="51" t="s">
        <v>103</v>
      </c>
      <c r="E121" s="51" t="s">
        <v>108</v>
      </c>
      <c r="F121" s="51" t="s">
        <v>129</v>
      </c>
      <c r="G121" s="51" t="s">
        <v>143</v>
      </c>
    </row>
    <row r="122" spans="1:7" x14ac:dyDescent="0.25">
      <c r="A122" s="52" t="s">
        <v>395</v>
      </c>
      <c r="B122" s="52" t="s">
        <v>396</v>
      </c>
      <c r="C122" s="52" t="s">
        <v>113</v>
      </c>
      <c r="D122" s="52" t="s">
        <v>103</v>
      </c>
      <c r="E122" s="52" t="s">
        <v>94</v>
      </c>
      <c r="F122" s="52" t="s">
        <v>114</v>
      </c>
      <c r="G122" s="52" t="s">
        <v>115</v>
      </c>
    </row>
    <row r="123" spans="1:7" x14ac:dyDescent="0.25">
      <c r="A123" s="51" t="s">
        <v>397</v>
      </c>
      <c r="B123" s="51" t="s">
        <v>398</v>
      </c>
      <c r="C123" s="51" t="s">
        <v>85</v>
      </c>
      <c r="D123" s="51" t="s">
        <v>103</v>
      </c>
      <c r="E123" s="51" t="s">
        <v>88</v>
      </c>
      <c r="F123" s="51" t="s">
        <v>87</v>
      </c>
      <c r="G123" s="51" t="s">
        <v>120</v>
      </c>
    </row>
    <row r="124" spans="1:7" x14ac:dyDescent="0.25">
      <c r="A124" s="51" t="s">
        <v>399</v>
      </c>
      <c r="B124" s="51" t="s">
        <v>400</v>
      </c>
      <c r="C124" s="51" t="s">
        <v>85</v>
      </c>
      <c r="D124" s="51" t="s">
        <v>103</v>
      </c>
      <c r="E124" s="51" t="s">
        <v>87</v>
      </c>
      <c r="F124" s="51" t="s">
        <v>88</v>
      </c>
      <c r="G124" s="51" t="s">
        <v>120</v>
      </c>
    </row>
    <row r="125" spans="1:7" x14ac:dyDescent="0.25">
      <c r="A125" s="51" t="s">
        <v>401</v>
      </c>
      <c r="B125" s="51" t="s">
        <v>402</v>
      </c>
      <c r="C125" s="51" t="s">
        <v>85</v>
      </c>
      <c r="D125" s="51" t="s">
        <v>103</v>
      </c>
      <c r="E125" s="51" t="s">
        <v>87</v>
      </c>
      <c r="F125" s="51" t="s">
        <v>88</v>
      </c>
      <c r="G125" s="51" t="s">
        <v>189</v>
      </c>
    </row>
    <row r="126" spans="1:7" x14ac:dyDescent="0.25">
      <c r="A126" s="51" t="s">
        <v>403</v>
      </c>
      <c r="B126" s="51" t="s">
        <v>404</v>
      </c>
      <c r="C126" s="51" t="s">
        <v>85</v>
      </c>
      <c r="D126" s="51" t="s">
        <v>103</v>
      </c>
      <c r="E126" s="51" t="s">
        <v>87</v>
      </c>
      <c r="F126" s="51" t="s">
        <v>88</v>
      </c>
      <c r="G126" s="51" t="s">
        <v>189</v>
      </c>
    </row>
    <row r="127" spans="1:7" x14ac:dyDescent="0.25">
      <c r="A127" s="51" t="s">
        <v>405</v>
      </c>
      <c r="B127" s="51" t="s">
        <v>406</v>
      </c>
      <c r="C127" s="51" t="s">
        <v>407</v>
      </c>
      <c r="D127" s="51" t="s">
        <v>103</v>
      </c>
      <c r="E127" s="51" t="s">
        <v>139</v>
      </c>
      <c r="F127" s="51" t="s">
        <v>78</v>
      </c>
      <c r="G127" s="51" t="s">
        <v>146</v>
      </c>
    </row>
    <row r="128" spans="1:7" x14ac:dyDescent="0.25">
      <c r="A128" s="51" t="s">
        <v>408</v>
      </c>
      <c r="B128" s="51" t="s">
        <v>409</v>
      </c>
      <c r="C128" s="51" t="s">
        <v>137</v>
      </c>
      <c r="D128" s="51" t="s">
        <v>99</v>
      </c>
      <c r="E128" s="51" t="s">
        <v>108</v>
      </c>
      <c r="F128" s="51" t="s">
        <v>109</v>
      </c>
      <c r="G128" s="51" t="s">
        <v>410</v>
      </c>
    </row>
    <row r="129" spans="1:7" x14ac:dyDescent="0.25">
      <c r="A129" s="51" t="s">
        <v>411</v>
      </c>
      <c r="B129" s="51" t="s">
        <v>412</v>
      </c>
      <c r="C129" s="51" t="s">
        <v>107</v>
      </c>
      <c r="D129" s="51" t="s">
        <v>103</v>
      </c>
      <c r="E129" s="51" t="s">
        <v>108</v>
      </c>
      <c r="F129" s="51" t="s">
        <v>129</v>
      </c>
      <c r="G129" s="51" t="s">
        <v>392</v>
      </c>
    </row>
    <row r="130" spans="1:7" x14ac:dyDescent="0.25">
      <c r="A130" s="51" t="s">
        <v>413</v>
      </c>
      <c r="B130" s="51" t="s">
        <v>414</v>
      </c>
      <c r="C130" s="51" t="s">
        <v>107</v>
      </c>
      <c r="D130" s="51" t="s">
        <v>103</v>
      </c>
      <c r="E130" s="51" t="s">
        <v>108</v>
      </c>
      <c r="F130" s="51" t="s">
        <v>129</v>
      </c>
      <c r="G130" s="51" t="s">
        <v>392</v>
      </c>
    </row>
    <row r="131" spans="1:7" x14ac:dyDescent="0.25">
      <c r="A131" s="51" t="s">
        <v>415</v>
      </c>
      <c r="B131" s="51" t="s">
        <v>416</v>
      </c>
      <c r="C131" s="51" t="s">
        <v>134</v>
      </c>
      <c r="D131" s="51" t="s">
        <v>103</v>
      </c>
      <c r="E131" s="51" t="s">
        <v>88</v>
      </c>
      <c r="F131" s="51" t="s">
        <v>87</v>
      </c>
      <c r="G131" s="51" t="s">
        <v>89</v>
      </c>
    </row>
    <row r="132" spans="1:7" x14ac:dyDescent="0.25">
      <c r="A132" s="51" t="s">
        <v>417</v>
      </c>
      <c r="B132" s="51" t="s">
        <v>418</v>
      </c>
      <c r="C132" s="51" t="s">
        <v>134</v>
      </c>
      <c r="D132" s="51" t="s">
        <v>103</v>
      </c>
      <c r="E132" s="51" t="s">
        <v>88</v>
      </c>
      <c r="F132" s="51" t="s">
        <v>87</v>
      </c>
      <c r="G132" s="51" t="s">
        <v>89</v>
      </c>
    </row>
    <row r="133" spans="1:7" x14ac:dyDescent="0.25">
      <c r="A133" s="52" t="s">
        <v>419</v>
      </c>
      <c r="B133" s="55" t="s">
        <v>420</v>
      </c>
      <c r="C133" s="52" t="s">
        <v>85</v>
      </c>
      <c r="D133" s="52" t="s">
        <v>103</v>
      </c>
      <c r="E133" s="52" t="s">
        <v>88</v>
      </c>
      <c r="F133" s="52" t="s">
        <v>87</v>
      </c>
      <c r="G133" s="52" t="s">
        <v>189</v>
      </c>
    </row>
    <row r="134" spans="1:7" x14ac:dyDescent="0.25">
      <c r="A134" s="51" t="s">
        <v>421</v>
      </c>
      <c r="B134" s="51" t="s">
        <v>422</v>
      </c>
      <c r="C134" s="51" t="s">
        <v>423</v>
      </c>
      <c r="D134" s="51" t="s">
        <v>99</v>
      </c>
      <c r="E134" s="51" t="s">
        <v>424</v>
      </c>
      <c r="F134" s="51" t="s">
        <v>425</v>
      </c>
      <c r="G134" s="51" t="s">
        <v>426</v>
      </c>
    </row>
    <row r="135" spans="1:7" x14ac:dyDescent="0.25">
      <c r="A135" s="52" t="s">
        <v>427</v>
      </c>
      <c r="B135" s="55" t="s">
        <v>428</v>
      </c>
      <c r="C135" s="52" t="s">
        <v>85</v>
      </c>
      <c r="D135" s="52" t="s">
        <v>103</v>
      </c>
      <c r="E135" s="52" t="s">
        <v>88</v>
      </c>
      <c r="F135" s="52" t="s">
        <v>87</v>
      </c>
      <c r="G135" s="52" t="s">
        <v>189</v>
      </c>
    </row>
    <row r="136" spans="1:7" x14ac:dyDescent="0.25">
      <c r="A136" s="52" t="s">
        <v>429</v>
      </c>
      <c r="B136" s="52" t="s">
        <v>430</v>
      </c>
      <c r="C136" s="52" t="s">
        <v>113</v>
      </c>
      <c r="D136" s="52" t="s">
        <v>103</v>
      </c>
      <c r="E136" s="52" t="s">
        <v>370</v>
      </c>
      <c r="F136" s="52" t="s">
        <v>94</v>
      </c>
      <c r="G136" s="52" t="s">
        <v>115</v>
      </c>
    </row>
    <row r="137" spans="1:7" x14ac:dyDescent="0.25">
      <c r="A137" s="52" t="s">
        <v>431</v>
      </c>
      <c r="B137" s="52" t="s">
        <v>432</v>
      </c>
      <c r="C137" s="52" t="s">
        <v>113</v>
      </c>
      <c r="D137" s="52" t="s">
        <v>103</v>
      </c>
      <c r="E137" s="52" t="s">
        <v>370</v>
      </c>
      <c r="F137" s="52" t="s">
        <v>94</v>
      </c>
      <c r="G137" s="52" t="s">
        <v>115</v>
      </c>
    </row>
    <row r="138" spans="1:7" x14ac:dyDescent="0.25">
      <c r="A138" s="52" t="s">
        <v>433</v>
      </c>
      <c r="B138" s="52" t="s">
        <v>434</v>
      </c>
      <c r="C138" s="52" t="s">
        <v>113</v>
      </c>
      <c r="D138" s="52" t="s">
        <v>103</v>
      </c>
      <c r="E138" s="52" t="s">
        <v>370</v>
      </c>
      <c r="F138" s="52" t="s">
        <v>94</v>
      </c>
      <c r="G138" s="52" t="s">
        <v>115</v>
      </c>
    </row>
    <row r="139" spans="1:7" x14ac:dyDescent="0.25">
      <c r="A139" s="52" t="s">
        <v>435</v>
      </c>
      <c r="B139" s="55" t="s">
        <v>436</v>
      </c>
      <c r="C139" s="52" t="s">
        <v>113</v>
      </c>
      <c r="D139" s="52" t="s">
        <v>103</v>
      </c>
      <c r="E139" s="52" t="s">
        <v>370</v>
      </c>
      <c r="F139" s="52" t="s">
        <v>94</v>
      </c>
      <c r="G139" s="52" t="s">
        <v>115</v>
      </c>
    </row>
    <row r="140" spans="1:7" x14ac:dyDescent="0.25">
      <c r="A140" s="51" t="s">
        <v>437</v>
      </c>
      <c r="B140" s="51" t="s">
        <v>438</v>
      </c>
      <c r="C140" s="51" t="s">
        <v>85</v>
      </c>
      <c r="D140" s="51" t="s">
        <v>103</v>
      </c>
      <c r="E140" s="51" t="s">
        <v>87</v>
      </c>
      <c r="F140" s="51" t="s">
        <v>88</v>
      </c>
      <c r="G140" s="51" t="s">
        <v>189</v>
      </c>
    </row>
    <row r="141" spans="1:7" x14ac:dyDescent="0.25">
      <c r="A141" s="51" t="s">
        <v>439</v>
      </c>
      <c r="B141" s="51" t="s">
        <v>440</v>
      </c>
      <c r="C141" s="51" t="s">
        <v>113</v>
      </c>
      <c r="D141" s="51" t="s">
        <v>103</v>
      </c>
      <c r="E141" s="51" t="s">
        <v>370</v>
      </c>
      <c r="F141" s="51" t="s">
        <v>94</v>
      </c>
      <c r="G141" s="51" t="s">
        <v>115</v>
      </c>
    </row>
    <row r="142" spans="1:7" x14ac:dyDescent="0.25">
      <c r="A142" s="51" t="s">
        <v>441</v>
      </c>
      <c r="B142" s="51" t="s">
        <v>442</v>
      </c>
      <c r="C142" s="51" t="s">
        <v>92</v>
      </c>
      <c r="D142" s="51" t="s">
        <v>86</v>
      </c>
      <c r="E142" s="51" t="s">
        <v>94</v>
      </c>
      <c r="F142" s="51" t="s">
        <v>370</v>
      </c>
      <c r="G142" s="51" t="s">
        <v>115</v>
      </c>
    </row>
    <row r="143" spans="1:7" x14ac:dyDescent="0.25">
      <c r="A143" s="51" t="s">
        <v>443</v>
      </c>
      <c r="B143" s="51" t="s">
        <v>444</v>
      </c>
      <c r="C143" s="51" t="s">
        <v>107</v>
      </c>
      <c r="D143" s="51" t="s">
        <v>103</v>
      </c>
      <c r="E143" s="51" t="s">
        <v>108</v>
      </c>
      <c r="F143" s="51" t="s">
        <v>129</v>
      </c>
      <c r="G143" s="51" t="s">
        <v>445</v>
      </c>
    </row>
    <row r="144" spans="1:7" x14ac:dyDescent="0.25">
      <c r="A144" s="52" t="s">
        <v>446</v>
      </c>
      <c r="B144" s="52" t="s">
        <v>447</v>
      </c>
      <c r="C144" s="52" t="s">
        <v>113</v>
      </c>
      <c r="D144" s="52" t="s">
        <v>103</v>
      </c>
      <c r="E144" s="52" t="s">
        <v>370</v>
      </c>
      <c r="F144" s="52" t="s">
        <v>94</v>
      </c>
      <c r="G144" s="52" t="s">
        <v>115</v>
      </c>
    </row>
    <row r="145" spans="1:7" x14ac:dyDescent="0.25">
      <c r="A145" s="51" t="s">
        <v>448</v>
      </c>
      <c r="B145" s="51" t="s">
        <v>449</v>
      </c>
      <c r="C145" s="51" t="s">
        <v>179</v>
      </c>
      <c r="D145" s="51" t="s">
        <v>103</v>
      </c>
      <c r="E145" s="51" t="s">
        <v>129</v>
      </c>
      <c r="F145" s="51" t="s">
        <v>108</v>
      </c>
      <c r="G145" s="51" t="s">
        <v>140</v>
      </c>
    </row>
    <row r="146" spans="1:7" x14ac:dyDescent="0.25">
      <c r="A146" s="51" t="s">
        <v>450</v>
      </c>
      <c r="B146" s="51" t="s">
        <v>451</v>
      </c>
      <c r="C146" s="51" t="s">
        <v>107</v>
      </c>
      <c r="D146" s="51" t="s">
        <v>103</v>
      </c>
      <c r="E146" s="51" t="s">
        <v>108</v>
      </c>
      <c r="F146" s="51" t="s">
        <v>129</v>
      </c>
      <c r="G146" s="51" t="s">
        <v>146</v>
      </c>
    </row>
    <row r="147" spans="1:7" x14ac:dyDescent="0.25">
      <c r="A147" s="52" t="s">
        <v>452</v>
      </c>
      <c r="B147" s="52" t="s">
        <v>453</v>
      </c>
      <c r="C147" s="52" t="s">
        <v>113</v>
      </c>
      <c r="D147" s="52" t="s">
        <v>103</v>
      </c>
      <c r="E147" s="52" t="s">
        <v>370</v>
      </c>
      <c r="F147" s="52" t="s">
        <v>94</v>
      </c>
      <c r="G147" s="52" t="s">
        <v>115</v>
      </c>
    </row>
    <row r="148" spans="1:7" x14ac:dyDescent="0.25">
      <c r="A148" s="51" t="s">
        <v>454</v>
      </c>
      <c r="B148" s="51" t="s">
        <v>455</v>
      </c>
      <c r="C148" s="51" t="s">
        <v>407</v>
      </c>
      <c r="D148" s="51" t="s">
        <v>76</v>
      </c>
      <c r="E148" s="51" t="s">
        <v>139</v>
      </c>
      <c r="F148" s="51" t="s">
        <v>139</v>
      </c>
      <c r="G148" s="51" t="s">
        <v>115</v>
      </c>
    </row>
    <row r="149" spans="1:7" x14ac:dyDescent="0.25">
      <c r="A149" s="52" t="s">
        <v>456</v>
      </c>
      <c r="B149" s="52" t="s">
        <v>457</v>
      </c>
      <c r="C149" s="52" t="s">
        <v>113</v>
      </c>
      <c r="D149" s="52" t="s">
        <v>103</v>
      </c>
      <c r="E149" s="52" t="s">
        <v>370</v>
      </c>
      <c r="F149" s="52" t="s">
        <v>94</v>
      </c>
      <c r="G149" s="52" t="s">
        <v>115</v>
      </c>
    </row>
    <row r="150" spans="1:7" x14ac:dyDescent="0.25">
      <c r="A150" s="51" t="s">
        <v>458</v>
      </c>
      <c r="B150" s="51" t="s">
        <v>459</v>
      </c>
      <c r="C150" s="51" t="s">
        <v>174</v>
      </c>
      <c r="D150" s="51" t="s">
        <v>103</v>
      </c>
      <c r="E150" s="51" t="s">
        <v>129</v>
      </c>
      <c r="F150" s="51" t="s">
        <v>108</v>
      </c>
      <c r="G150" s="51" t="s">
        <v>163</v>
      </c>
    </row>
    <row r="151" spans="1:7" x14ac:dyDescent="0.25">
      <c r="A151" s="51" t="s">
        <v>460</v>
      </c>
      <c r="B151" s="51" t="s">
        <v>461</v>
      </c>
      <c r="C151" s="51" t="s">
        <v>162</v>
      </c>
      <c r="D151" s="51" t="s">
        <v>103</v>
      </c>
      <c r="E151" s="51" t="s">
        <v>129</v>
      </c>
      <c r="F151" s="51" t="s">
        <v>108</v>
      </c>
      <c r="G151" s="51" t="s">
        <v>163</v>
      </c>
    </row>
    <row r="152" spans="1:7" x14ac:dyDescent="0.25">
      <c r="A152" s="51" t="s">
        <v>462</v>
      </c>
      <c r="B152" s="51" t="s">
        <v>463</v>
      </c>
      <c r="C152" s="51" t="s">
        <v>137</v>
      </c>
      <c r="D152" s="51" t="s">
        <v>76</v>
      </c>
      <c r="E152" s="51" t="s">
        <v>138</v>
      </c>
      <c r="F152" s="51" t="s">
        <v>139</v>
      </c>
      <c r="G152" s="51" t="s">
        <v>138</v>
      </c>
    </row>
    <row r="153" spans="1:7" x14ac:dyDescent="0.25">
      <c r="A153" s="51" t="s">
        <v>464</v>
      </c>
      <c r="B153" s="51" t="s">
        <v>465</v>
      </c>
      <c r="C153" s="51" t="s">
        <v>407</v>
      </c>
      <c r="D153" s="51" t="s">
        <v>76</v>
      </c>
      <c r="E153" s="51" t="s">
        <v>139</v>
      </c>
      <c r="F153" s="51" t="s">
        <v>139</v>
      </c>
      <c r="G153" s="51" t="s">
        <v>120</v>
      </c>
    </row>
    <row r="154" spans="1:7" x14ac:dyDescent="0.25">
      <c r="A154" s="51" t="s">
        <v>466</v>
      </c>
      <c r="B154" s="51" t="s">
        <v>467</v>
      </c>
      <c r="C154" s="51" t="s">
        <v>468</v>
      </c>
      <c r="D154" s="51" t="s">
        <v>76</v>
      </c>
      <c r="E154" s="51" t="s">
        <v>469</v>
      </c>
      <c r="F154" s="51" t="s">
        <v>469</v>
      </c>
      <c r="G154" s="51" t="s">
        <v>469</v>
      </c>
    </row>
    <row r="155" spans="1:7" x14ac:dyDescent="0.25">
      <c r="A155" s="51" t="s">
        <v>470</v>
      </c>
      <c r="B155" s="51" t="s">
        <v>471</v>
      </c>
      <c r="C155" s="51" t="s">
        <v>137</v>
      </c>
      <c r="D155" s="51" t="s">
        <v>99</v>
      </c>
      <c r="E155" s="51" t="s">
        <v>472</v>
      </c>
      <c r="F155" s="51" t="s">
        <v>472</v>
      </c>
      <c r="G155" s="51" t="s">
        <v>472</v>
      </c>
    </row>
    <row r="156" spans="1:7" x14ac:dyDescent="0.25">
      <c r="A156" s="51" t="s">
        <v>473</v>
      </c>
      <c r="B156" s="51" t="s">
        <v>474</v>
      </c>
      <c r="C156" s="51" t="s">
        <v>475</v>
      </c>
      <c r="D156" s="51" t="s">
        <v>76</v>
      </c>
      <c r="E156" s="51" t="s">
        <v>87</v>
      </c>
      <c r="F156" s="51" t="s">
        <v>87</v>
      </c>
      <c r="G156" s="51" t="s">
        <v>87</v>
      </c>
    </row>
    <row r="157" spans="1:7" x14ac:dyDescent="0.25">
      <c r="A157" s="51" t="s">
        <v>476</v>
      </c>
      <c r="B157" s="51" t="s">
        <v>477</v>
      </c>
      <c r="C157" s="51" t="s">
        <v>137</v>
      </c>
      <c r="D157" s="51" t="s">
        <v>76</v>
      </c>
      <c r="E157" s="51" t="s">
        <v>242</v>
      </c>
      <c r="F157" s="51" t="s">
        <v>242</v>
      </c>
      <c r="G157" s="51" t="s">
        <v>242</v>
      </c>
    </row>
    <row r="158" spans="1:7" x14ac:dyDescent="0.25">
      <c r="A158" s="51" t="s">
        <v>478</v>
      </c>
      <c r="B158" s="51" t="s">
        <v>479</v>
      </c>
      <c r="C158" s="51" t="s">
        <v>137</v>
      </c>
      <c r="D158" s="51" t="s">
        <v>76</v>
      </c>
      <c r="E158" s="51" t="s">
        <v>480</v>
      </c>
      <c r="F158" s="51" t="s">
        <v>480</v>
      </c>
      <c r="G158" s="51" t="s">
        <v>480</v>
      </c>
    </row>
    <row r="159" spans="1:7" x14ac:dyDescent="0.15">
      <c r="A159" s="56" t="s">
        <v>481</v>
      </c>
      <c r="B159" s="51" t="s">
        <v>482</v>
      </c>
      <c r="C159" s="51" t="s">
        <v>107</v>
      </c>
      <c r="D159" s="51" t="s">
        <v>86</v>
      </c>
      <c r="E159" s="56" t="s">
        <v>94</v>
      </c>
      <c r="F159" s="56" t="s">
        <v>94</v>
      </c>
      <c r="G159" s="56" t="s">
        <v>483</v>
      </c>
    </row>
    <row r="160" spans="1:7" x14ac:dyDescent="0.15">
      <c r="A160" s="56" t="s">
        <v>484</v>
      </c>
      <c r="B160" s="51" t="s">
        <v>485</v>
      </c>
      <c r="C160" s="51" t="s">
        <v>113</v>
      </c>
      <c r="D160" s="51" t="s">
        <v>76</v>
      </c>
      <c r="E160" s="56" t="s">
        <v>370</v>
      </c>
      <c r="F160" s="56" t="s">
        <v>370</v>
      </c>
      <c r="G160" s="56" t="s">
        <v>486</v>
      </c>
    </row>
    <row r="161" spans="1:7" x14ac:dyDescent="0.15">
      <c r="A161" s="56" t="s">
        <v>487</v>
      </c>
      <c r="B161" s="51" t="s">
        <v>488</v>
      </c>
      <c r="C161" s="51" t="s">
        <v>85</v>
      </c>
      <c r="D161" s="51" t="s">
        <v>76</v>
      </c>
      <c r="E161" s="56" t="s">
        <v>370</v>
      </c>
      <c r="F161" s="56" t="s">
        <v>370</v>
      </c>
      <c r="G161" s="56" t="s">
        <v>489</v>
      </c>
    </row>
    <row r="162" spans="1:7" x14ac:dyDescent="0.15">
      <c r="A162" s="56" t="s">
        <v>490</v>
      </c>
      <c r="B162" s="51" t="s">
        <v>491</v>
      </c>
      <c r="C162" s="51" t="s">
        <v>85</v>
      </c>
      <c r="D162" s="51" t="s">
        <v>76</v>
      </c>
      <c r="E162" s="56" t="s">
        <v>370</v>
      </c>
      <c r="F162" s="56" t="s">
        <v>370</v>
      </c>
      <c r="G162" s="56" t="s">
        <v>489</v>
      </c>
    </row>
    <row r="163" spans="1:7" x14ac:dyDescent="0.15">
      <c r="A163" s="56" t="s">
        <v>492</v>
      </c>
      <c r="B163" s="51" t="s">
        <v>493</v>
      </c>
      <c r="C163" s="51" t="s">
        <v>137</v>
      </c>
      <c r="D163" s="51" t="s">
        <v>76</v>
      </c>
      <c r="E163" s="57" t="s">
        <v>494</v>
      </c>
      <c r="F163" s="57" t="s">
        <v>494</v>
      </c>
      <c r="G163" s="57" t="s">
        <v>495</v>
      </c>
    </row>
    <row r="164" spans="1:7" x14ac:dyDescent="0.15">
      <c r="A164" s="57" t="s">
        <v>496</v>
      </c>
      <c r="B164" s="51" t="s">
        <v>497</v>
      </c>
      <c r="C164" s="51" t="s">
        <v>137</v>
      </c>
      <c r="D164" s="51" t="s">
        <v>76</v>
      </c>
      <c r="E164" s="57" t="s">
        <v>498</v>
      </c>
      <c r="F164" s="57" t="s">
        <v>498</v>
      </c>
      <c r="G164" s="57" t="s">
        <v>499</v>
      </c>
    </row>
    <row r="165" spans="1:7" x14ac:dyDescent="0.15">
      <c r="A165" s="57" t="s">
        <v>500</v>
      </c>
      <c r="B165" s="51" t="s">
        <v>501</v>
      </c>
      <c r="C165" s="51" t="s">
        <v>113</v>
      </c>
      <c r="D165" s="51" t="s">
        <v>86</v>
      </c>
      <c r="E165" s="57" t="s">
        <v>94</v>
      </c>
      <c r="F165" s="57" t="s">
        <v>94</v>
      </c>
      <c r="G165" s="57" t="s">
        <v>502</v>
      </c>
    </row>
    <row r="166" spans="1:7" x14ac:dyDescent="0.15">
      <c r="A166" s="57" t="s">
        <v>503</v>
      </c>
      <c r="B166" s="51" t="s">
        <v>504</v>
      </c>
      <c r="C166" s="51" t="s">
        <v>85</v>
      </c>
      <c r="D166" s="51" t="s">
        <v>86</v>
      </c>
      <c r="E166" s="57" t="s">
        <v>370</v>
      </c>
      <c r="F166" s="57" t="s">
        <v>370</v>
      </c>
      <c r="G166" s="57" t="s">
        <v>502</v>
      </c>
    </row>
    <row r="167" spans="1:7" x14ac:dyDescent="0.15">
      <c r="A167" s="57" t="s">
        <v>505</v>
      </c>
      <c r="B167" s="51" t="s">
        <v>506</v>
      </c>
      <c r="C167" s="51" t="s">
        <v>137</v>
      </c>
      <c r="D167" s="51" t="s">
        <v>76</v>
      </c>
      <c r="E167" s="57" t="s">
        <v>507</v>
      </c>
      <c r="F167" s="57" t="s">
        <v>507</v>
      </c>
      <c r="G167" s="57" t="s">
        <v>507</v>
      </c>
    </row>
    <row r="168" spans="1:7" x14ac:dyDescent="0.15">
      <c r="A168" s="57" t="s">
        <v>508</v>
      </c>
      <c r="B168" s="51" t="s">
        <v>509</v>
      </c>
      <c r="C168" s="51" t="s">
        <v>137</v>
      </c>
      <c r="D168" s="51" t="s">
        <v>86</v>
      </c>
      <c r="E168" s="57" t="s">
        <v>510</v>
      </c>
      <c r="F168" s="57" t="s">
        <v>510</v>
      </c>
      <c r="G168" s="57" t="s">
        <v>510</v>
      </c>
    </row>
    <row r="169" spans="1:7" x14ac:dyDescent="0.15">
      <c r="A169" s="57" t="s">
        <v>511</v>
      </c>
      <c r="B169" s="51" t="s">
        <v>512</v>
      </c>
      <c r="C169" s="51" t="s">
        <v>137</v>
      </c>
      <c r="D169" s="51" t="s">
        <v>86</v>
      </c>
      <c r="E169" s="57" t="s">
        <v>513</v>
      </c>
      <c r="F169" s="57" t="s">
        <v>513</v>
      </c>
      <c r="G169" s="57" t="s">
        <v>513</v>
      </c>
    </row>
  </sheetData>
  <phoneticPr fontId="1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'\\Users\guliujie\Library\Containers\com.microsoft.Excel\Data\Documents\E:\Users\zhangqian\Desktop\D:\工作\标准化\[汉得标准化产品清单_V2.1.xlsx]模块区分'!#REF!</xm:f>
          </x14:formula1>
          <xm:sqref>D1:D1048576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H97"/>
  <sheetViews>
    <sheetView showGridLines="0" topLeftCell="B1" zoomScale="90" zoomScaleNormal="90" workbookViewId="0">
      <selection activeCell="M10" sqref="M10"/>
    </sheetView>
  </sheetViews>
  <sheetFormatPr defaultColWidth="9" defaultRowHeight="12" x14ac:dyDescent="0.25"/>
  <cols>
    <col min="1" max="1" width="0.69921875" style="34" customWidth="1"/>
    <col min="2" max="2" width="8.19921875" style="34" bestFit="1" customWidth="1"/>
    <col min="3" max="3" width="8.69921875" style="34" bestFit="1" customWidth="1"/>
    <col min="4" max="8" width="5.09765625" style="34" bestFit="1" customWidth="1"/>
    <col min="9" max="9" width="4.5" style="34" bestFit="1" customWidth="1"/>
    <col min="10" max="10" width="5.09765625" style="34" bestFit="1" customWidth="1"/>
    <col min="11" max="11" width="5" style="34" customWidth="1"/>
    <col min="12" max="12" width="0.69921875" style="34" customWidth="1"/>
    <col min="13" max="13" width="12.69921875" style="34" customWidth="1"/>
    <col min="14" max="14" width="8.69921875" style="34" bestFit="1" customWidth="1"/>
    <col min="15" max="15" width="4.796875" style="34" bestFit="1" customWidth="1"/>
    <col min="16" max="16" width="0.69921875" style="34" customWidth="1"/>
    <col min="17" max="17" width="8.19921875" style="34" bestFit="1" customWidth="1"/>
    <col min="18" max="18" width="8.69921875" style="34" bestFit="1" customWidth="1"/>
    <col min="19" max="20" width="5.09765625" style="34" bestFit="1" customWidth="1"/>
    <col min="21" max="21" width="5.5" style="34" customWidth="1"/>
    <col min="22" max="22" width="1.19921875" style="34" customWidth="1"/>
    <col min="23" max="23" width="10.69921875" style="34" customWidth="1"/>
    <col min="24" max="24" width="8.69921875" style="34" bestFit="1" customWidth="1"/>
    <col min="25" max="25" width="4.796875" style="34" bestFit="1" customWidth="1"/>
    <col min="26" max="26" width="0.69921875" style="34" customWidth="1"/>
    <col min="27" max="28" width="10.19921875" style="34" customWidth="1"/>
    <col min="29" max="29" width="4.796875" style="34" bestFit="1" customWidth="1"/>
    <col min="30" max="30" width="0.69921875" style="34" customWidth="1"/>
    <col min="31" max="31" width="8.19921875" style="34" customWidth="1"/>
    <col min="32" max="32" width="8.69921875" style="34" customWidth="1"/>
    <col min="33" max="33" width="4.796875" style="34" bestFit="1" customWidth="1"/>
    <col min="34" max="34" width="5.5" style="34" customWidth="1"/>
    <col min="35" max="16384" width="9" style="34"/>
  </cols>
  <sheetData>
    <row r="1" spans="2:34" ht="20.399999999999999" x14ac:dyDescent="0.25">
      <c r="B1" s="145" t="s">
        <v>514</v>
      </c>
      <c r="C1" s="145"/>
      <c r="D1" s="145"/>
      <c r="E1" s="39"/>
      <c r="F1" s="39"/>
      <c r="M1" s="145" t="s">
        <v>515</v>
      </c>
      <c r="N1" s="145"/>
      <c r="O1" s="145"/>
      <c r="Q1" s="145" t="s">
        <v>516</v>
      </c>
      <c r="R1" s="145"/>
      <c r="S1" s="145"/>
      <c r="T1" s="39"/>
      <c r="U1" s="39"/>
      <c r="W1" s="145" t="s">
        <v>517</v>
      </c>
      <c r="X1" s="145"/>
      <c r="Y1" s="145"/>
      <c r="AA1" s="145" t="s">
        <v>518</v>
      </c>
      <c r="AB1" s="145"/>
      <c r="AC1" s="145"/>
      <c r="AE1" s="145" t="s">
        <v>519</v>
      </c>
      <c r="AF1" s="145"/>
      <c r="AG1" s="145"/>
    </row>
    <row r="2" spans="2:34" ht="15.6" x14ac:dyDescent="0.25">
      <c r="B2" s="94" t="s">
        <v>13</v>
      </c>
      <c r="C2" s="95" t="s">
        <v>520</v>
      </c>
      <c r="G2"/>
      <c r="M2" s="84" t="s">
        <v>13</v>
      </c>
      <c r="N2" s="85" t="s">
        <v>520</v>
      </c>
      <c r="Q2" s="94" t="s">
        <v>13</v>
      </c>
      <c r="R2" s="95" t="s">
        <v>520</v>
      </c>
      <c r="W2" s="94" t="s">
        <v>13</v>
      </c>
      <c r="X2" s="95" t="s">
        <v>520</v>
      </c>
      <c r="AA2" s="80" t="s">
        <v>13</v>
      </c>
      <c r="AB2" s="40" t="s">
        <v>520</v>
      </c>
      <c r="AE2" s="80" t="s">
        <v>13</v>
      </c>
      <c r="AF2" s="40" t="s">
        <v>520</v>
      </c>
    </row>
    <row r="3" spans="2:34" ht="15.6" x14ac:dyDescent="0.25">
      <c r="G3"/>
    </row>
    <row r="4" spans="2:34" ht="15.6" x14ac:dyDescent="0.25">
      <c r="B4" s="96"/>
      <c r="C4" s="97" t="s">
        <v>521</v>
      </c>
      <c r="D4" s="98"/>
      <c r="E4" s="98"/>
      <c r="F4" s="98"/>
      <c r="G4" s="98"/>
      <c r="H4" s="98"/>
      <c r="I4" s="98"/>
      <c r="J4" s="99"/>
      <c r="K4"/>
      <c r="M4" s="87" t="s">
        <v>522</v>
      </c>
      <c r="N4" s="88"/>
      <c r="O4" s="108"/>
      <c r="Q4" s="96"/>
      <c r="R4" s="97" t="s">
        <v>521</v>
      </c>
      <c r="S4" s="98"/>
      <c r="T4" s="99"/>
      <c r="U4"/>
      <c r="V4"/>
      <c r="W4" s="112" t="s">
        <v>522</v>
      </c>
      <c r="X4" s="98"/>
      <c r="Y4" s="113"/>
      <c r="AA4" s="82" t="s">
        <v>522</v>
      </c>
      <c r="AB4" s="41"/>
      <c r="AC4" s="45"/>
      <c r="AE4" s="82" t="s">
        <v>522</v>
      </c>
      <c r="AF4" s="41"/>
      <c r="AG4" s="45"/>
      <c r="AH4"/>
    </row>
    <row r="5" spans="2:34" ht="15.6" x14ac:dyDescent="0.25">
      <c r="B5" s="100" t="s">
        <v>15</v>
      </c>
      <c r="C5" s="90" t="s">
        <v>522</v>
      </c>
      <c r="D5" s="91" t="s">
        <v>523</v>
      </c>
      <c r="E5" s="91" t="s">
        <v>524</v>
      </c>
      <c r="F5" s="91" t="s">
        <v>525</v>
      </c>
      <c r="G5" s="91" t="s">
        <v>526</v>
      </c>
      <c r="H5" s="91" t="s">
        <v>1</v>
      </c>
      <c r="I5" s="91" t="s">
        <v>527</v>
      </c>
      <c r="J5" s="101" t="s">
        <v>528</v>
      </c>
      <c r="K5"/>
      <c r="M5" s="87" t="s">
        <v>15</v>
      </c>
      <c r="N5" s="87" t="s">
        <v>35</v>
      </c>
      <c r="O5" s="108" t="s">
        <v>529</v>
      </c>
      <c r="Q5" s="100" t="s">
        <v>15</v>
      </c>
      <c r="R5" s="90" t="s">
        <v>522</v>
      </c>
      <c r="S5" s="91" t="s">
        <v>523</v>
      </c>
      <c r="T5" s="101" t="s">
        <v>525</v>
      </c>
      <c r="U5"/>
      <c r="V5"/>
      <c r="W5" s="100" t="s">
        <v>15</v>
      </c>
      <c r="X5" s="87" t="s">
        <v>39</v>
      </c>
      <c r="Y5" s="114" t="s">
        <v>529</v>
      </c>
      <c r="AA5" s="81" t="s">
        <v>38</v>
      </c>
      <c r="AB5" s="79" t="s">
        <v>17</v>
      </c>
      <c r="AC5" s="46" t="s">
        <v>529</v>
      </c>
      <c r="AE5" s="81" t="s">
        <v>38</v>
      </c>
      <c r="AF5" s="79" t="s">
        <v>8</v>
      </c>
      <c r="AG5" s="46" t="s">
        <v>529</v>
      </c>
      <c r="AH5"/>
    </row>
    <row r="6" spans="2:34" ht="15.6" x14ac:dyDescent="0.25">
      <c r="B6" s="102" t="s">
        <v>530</v>
      </c>
      <c r="C6" s="92">
        <v>0</v>
      </c>
      <c r="D6" s="93">
        <v>0</v>
      </c>
      <c r="E6" s="93">
        <v>0</v>
      </c>
      <c r="F6" s="93">
        <v>0</v>
      </c>
      <c r="G6" s="93">
        <v>0</v>
      </c>
      <c r="H6" s="93">
        <v>0</v>
      </c>
      <c r="I6" s="93">
        <v>0</v>
      </c>
      <c r="J6" s="103">
        <v>0</v>
      </c>
      <c r="K6"/>
      <c r="M6" s="86" t="s">
        <v>530</v>
      </c>
      <c r="N6" s="86" t="s">
        <v>530</v>
      </c>
      <c r="O6" s="111">
        <v>0</v>
      </c>
      <c r="Q6" s="102" t="s">
        <v>530</v>
      </c>
      <c r="R6" s="92">
        <v>0</v>
      </c>
      <c r="S6" s="93">
        <v>0</v>
      </c>
      <c r="T6" s="103">
        <v>0</v>
      </c>
      <c r="U6"/>
      <c r="V6"/>
      <c r="W6" s="102" t="s">
        <v>530</v>
      </c>
      <c r="X6" s="86" t="s">
        <v>530</v>
      </c>
      <c r="Y6" s="115">
        <v>0</v>
      </c>
      <c r="AA6" s="42" t="s">
        <v>531</v>
      </c>
      <c r="AB6" s="43"/>
      <c r="AC6" s="47">
        <v>0</v>
      </c>
      <c r="AE6" s="42" t="s">
        <v>531</v>
      </c>
      <c r="AF6" s="43"/>
      <c r="AG6" s="47">
        <v>0</v>
      </c>
      <c r="AH6"/>
    </row>
    <row r="7" spans="2:34" ht="15.6" x14ac:dyDescent="0.25">
      <c r="B7" s="104" t="s">
        <v>531</v>
      </c>
      <c r="C7" s="105">
        <v>0</v>
      </c>
      <c r="D7" s="106">
        <v>0</v>
      </c>
      <c r="E7" s="106">
        <v>0</v>
      </c>
      <c r="F7" s="106">
        <v>0</v>
      </c>
      <c r="G7" s="106">
        <v>0</v>
      </c>
      <c r="H7" s="106">
        <v>0</v>
      </c>
      <c r="I7" s="106">
        <v>0</v>
      </c>
      <c r="J7" s="107">
        <v>0</v>
      </c>
      <c r="K7"/>
      <c r="M7" s="89" t="s">
        <v>531</v>
      </c>
      <c r="N7" s="109"/>
      <c r="O7" s="110">
        <v>0</v>
      </c>
      <c r="Q7" s="104" t="s">
        <v>531</v>
      </c>
      <c r="R7" s="105">
        <v>0</v>
      </c>
      <c r="S7" s="106">
        <v>0</v>
      </c>
      <c r="T7" s="107">
        <v>0</v>
      </c>
      <c r="U7"/>
      <c r="V7"/>
      <c r="W7" s="104" t="s">
        <v>531</v>
      </c>
      <c r="X7" s="116"/>
      <c r="Y7" s="117">
        <v>0</v>
      </c>
      <c r="AA7"/>
      <c r="AB7"/>
      <c r="AC7"/>
      <c r="AE7"/>
      <c r="AF7"/>
      <c r="AG7"/>
      <c r="AH7"/>
    </row>
    <row r="8" spans="2:34" ht="15.6" x14ac:dyDescent="0.25">
      <c r="B8"/>
      <c r="C8"/>
      <c r="D8"/>
      <c r="E8"/>
      <c r="F8"/>
      <c r="G8"/>
      <c r="H8"/>
      <c r="I8"/>
      <c r="J8"/>
      <c r="K8"/>
      <c r="M8"/>
      <c r="N8"/>
      <c r="O8"/>
      <c r="Q8"/>
      <c r="R8"/>
      <c r="S8"/>
      <c r="T8"/>
      <c r="U8"/>
      <c r="V8"/>
      <c r="W8"/>
      <c r="X8"/>
      <c r="Y8"/>
      <c r="AA8"/>
      <c r="AB8"/>
      <c r="AC8"/>
      <c r="AE8"/>
      <c r="AF8"/>
      <c r="AG8"/>
      <c r="AH8"/>
    </row>
    <row r="9" spans="2:34" ht="15.6" x14ac:dyDescent="0.25">
      <c r="B9"/>
      <c r="C9"/>
      <c r="D9"/>
      <c r="E9"/>
      <c r="F9"/>
      <c r="G9"/>
      <c r="H9"/>
      <c r="I9"/>
      <c r="J9"/>
      <c r="K9"/>
      <c r="M9"/>
      <c r="N9"/>
      <c r="O9"/>
      <c r="Q9"/>
      <c r="R9"/>
      <c r="S9"/>
      <c r="T9"/>
      <c r="U9"/>
      <c r="V9"/>
      <c r="W9"/>
      <c r="X9"/>
      <c r="Y9"/>
      <c r="AA9"/>
      <c r="AB9"/>
      <c r="AC9"/>
      <c r="AE9"/>
      <c r="AF9"/>
      <c r="AG9"/>
      <c r="AH9"/>
    </row>
    <row r="10" spans="2:34" ht="15.6" x14ac:dyDescent="0.25">
      <c r="B10"/>
      <c r="C10"/>
      <c r="D10"/>
      <c r="E10"/>
      <c r="F10"/>
      <c r="G10"/>
      <c r="H10"/>
      <c r="I10"/>
      <c r="J10"/>
      <c r="K10"/>
      <c r="M10"/>
      <c r="N10"/>
      <c r="O10"/>
      <c r="Q10"/>
      <c r="R10"/>
      <c r="S10"/>
      <c r="T10"/>
      <c r="U10"/>
      <c r="V10"/>
      <c r="W10"/>
      <c r="X10"/>
      <c r="Y10"/>
      <c r="AA10"/>
      <c r="AB10"/>
      <c r="AC10"/>
      <c r="AE10"/>
      <c r="AF10"/>
      <c r="AG10"/>
      <c r="AH10"/>
    </row>
    <row r="11" spans="2:34" ht="15.6" x14ac:dyDescent="0.25">
      <c r="B11"/>
      <c r="C11"/>
      <c r="D11"/>
      <c r="E11"/>
      <c r="F11"/>
      <c r="G11"/>
      <c r="H11"/>
      <c r="I11"/>
      <c r="J11"/>
      <c r="K11"/>
      <c r="M11"/>
      <c r="N11"/>
      <c r="O11"/>
      <c r="Q11"/>
      <c r="R11"/>
      <c r="S11"/>
      <c r="T11"/>
      <c r="U11"/>
      <c r="V11"/>
      <c r="W11"/>
      <c r="X11"/>
      <c r="Y11"/>
      <c r="AA11"/>
      <c r="AB11"/>
      <c r="AC11"/>
      <c r="AE11"/>
      <c r="AF11"/>
      <c r="AG11"/>
      <c r="AH11"/>
    </row>
    <row r="12" spans="2:34" ht="15.6" x14ac:dyDescent="0.25">
      <c r="B12"/>
      <c r="C12"/>
      <c r="D12"/>
      <c r="E12"/>
      <c r="F12"/>
      <c r="G12"/>
      <c r="H12"/>
      <c r="I12"/>
      <c r="J12"/>
      <c r="K12"/>
      <c r="M12"/>
      <c r="N12"/>
      <c r="O12"/>
      <c r="Q12"/>
      <c r="R12"/>
      <c r="S12"/>
      <c r="T12"/>
      <c r="U12"/>
      <c r="V12"/>
      <c r="W12"/>
      <c r="X12"/>
      <c r="Y12"/>
      <c r="AA12"/>
      <c r="AB12"/>
      <c r="AC12"/>
      <c r="AE12"/>
      <c r="AF12"/>
      <c r="AG12"/>
      <c r="AH12"/>
    </row>
    <row r="13" spans="2:34" ht="15.6" x14ac:dyDescent="0.25">
      <c r="B13"/>
      <c r="C13"/>
      <c r="D13"/>
      <c r="E13"/>
      <c r="F13"/>
      <c r="G13"/>
      <c r="H13"/>
      <c r="I13"/>
      <c r="J13"/>
      <c r="K13"/>
      <c r="M13"/>
      <c r="N13"/>
      <c r="O13"/>
      <c r="Q13"/>
      <c r="R13"/>
      <c r="S13"/>
      <c r="T13"/>
      <c r="U13"/>
      <c r="V13"/>
      <c r="W13"/>
      <c r="X13"/>
      <c r="Y13"/>
      <c r="AA13"/>
      <c r="AB13"/>
      <c r="AC13"/>
      <c r="AE13"/>
      <c r="AF13"/>
      <c r="AG13"/>
      <c r="AH13"/>
    </row>
    <row r="14" spans="2:34" ht="15.6" x14ac:dyDescent="0.25">
      <c r="B14"/>
      <c r="C14"/>
      <c r="D14"/>
      <c r="E14"/>
      <c r="F14"/>
      <c r="G14"/>
      <c r="H14"/>
      <c r="I14"/>
      <c r="J14"/>
      <c r="K14"/>
      <c r="M14"/>
      <c r="N14"/>
      <c r="O14"/>
      <c r="Q14"/>
      <c r="R14"/>
      <c r="S14"/>
      <c r="T14"/>
      <c r="U14"/>
      <c r="V14"/>
      <c r="W14"/>
      <c r="X14"/>
      <c r="Y14"/>
      <c r="AA14"/>
      <c r="AB14"/>
      <c r="AC14"/>
      <c r="AE14"/>
      <c r="AF14"/>
      <c r="AG14"/>
      <c r="AH14"/>
    </row>
    <row r="15" spans="2:34" ht="15.6" x14ac:dyDescent="0.25">
      <c r="B15"/>
      <c r="C15"/>
      <c r="D15"/>
      <c r="E15"/>
      <c r="F15"/>
      <c r="G15"/>
      <c r="H15"/>
      <c r="I15"/>
      <c r="J15"/>
      <c r="K15"/>
      <c r="M15"/>
      <c r="N15"/>
      <c r="O15"/>
      <c r="Q15"/>
      <c r="R15"/>
      <c r="S15"/>
      <c r="T15"/>
      <c r="U15"/>
      <c r="V15"/>
      <c r="W15"/>
      <c r="X15"/>
      <c r="Y15"/>
      <c r="AA15"/>
      <c r="AB15"/>
      <c r="AC15"/>
      <c r="AE15"/>
      <c r="AF15"/>
      <c r="AG15"/>
      <c r="AH15"/>
    </row>
    <row r="16" spans="2:34" ht="15.6" x14ac:dyDescent="0.25">
      <c r="B16"/>
      <c r="C16"/>
      <c r="D16"/>
      <c r="E16"/>
      <c r="F16"/>
      <c r="G16"/>
      <c r="H16"/>
      <c r="I16"/>
      <c r="J16"/>
      <c r="K16"/>
      <c r="M16"/>
      <c r="N16"/>
      <c r="O16"/>
      <c r="Q16"/>
      <c r="R16"/>
      <c r="S16"/>
      <c r="T16"/>
      <c r="U16"/>
      <c r="V16"/>
      <c r="W16"/>
      <c r="X16"/>
      <c r="Y16"/>
      <c r="AA16"/>
      <c r="AB16"/>
      <c r="AC16"/>
      <c r="AE16"/>
      <c r="AF16"/>
      <c r="AG16"/>
      <c r="AH16"/>
    </row>
    <row r="17" spans="2:34" ht="15.6" x14ac:dyDescent="0.25">
      <c r="B17"/>
      <c r="C17"/>
      <c r="D17"/>
      <c r="E17"/>
      <c r="F17"/>
      <c r="G17"/>
      <c r="H17"/>
      <c r="I17"/>
      <c r="J17"/>
      <c r="K17"/>
      <c r="M17"/>
      <c r="N17"/>
      <c r="O17"/>
      <c r="Q17"/>
      <c r="R17"/>
      <c r="S17"/>
      <c r="T17"/>
      <c r="U17"/>
      <c r="V17"/>
      <c r="W17"/>
      <c r="X17"/>
      <c r="Y17"/>
      <c r="AA17"/>
      <c r="AB17"/>
      <c r="AC17"/>
      <c r="AE17"/>
      <c r="AF17"/>
      <c r="AG17"/>
      <c r="AH17"/>
    </row>
    <row r="18" spans="2:34" ht="15.6" x14ac:dyDescent="0.25">
      <c r="B18"/>
      <c r="C18"/>
      <c r="D18"/>
      <c r="E18"/>
      <c r="F18"/>
      <c r="G18"/>
      <c r="H18"/>
      <c r="I18"/>
      <c r="J18"/>
      <c r="K18"/>
      <c r="M18"/>
      <c r="N18"/>
      <c r="O18"/>
      <c r="Q18"/>
      <c r="R18"/>
      <c r="S18"/>
      <c r="T18"/>
      <c r="U18"/>
      <c r="V18"/>
      <c r="W18"/>
      <c r="X18"/>
      <c r="Y18"/>
      <c r="AA18"/>
      <c r="AB18"/>
      <c r="AC18"/>
      <c r="AE18"/>
      <c r="AF18"/>
      <c r="AG18"/>
      <c r="AH18"/>
    </row>
    <row r="19" spans="2:34" ht="20.399999999999999" x14ac:dyDescent="0.25">
      <c r="B19" s="145" t="s">
        <v>535</v>
      </c>
      <c r="C19" s="145"/>
      <c r="D19" s="145"/>
      <c r="E19" s="39"/>
      <c r="F19" s="39"/>
      <c r="K19"/>
      <c r="M19"/>
      <c r="N19"/>
      <c r="O19"/>
      <c r="Q19"/>
      <c r="R19"/>
      <c r="S19"/>
      <c r="T19"/>
      <c r="U19"/>
      <c r="V19"/>
      <c r="W19"/>
      <c r="X19"/>
      <c r="Y19"/>
      <c r="AA19"/>
      <c r="AB19"/>
      <c r="AC19"/>
      <c r="AE19"/>
      <c r="AF19"/>
      <c r="AG19"/>
      <c r="AH19"/>
    </row>
    <row r="20" spans="2:34" ht="15.6" x14ac:dyDescent="0.25">
      <c r="B20" s="94" t="s">
        <v>13</v>
      </c>
      <c r="C20" s="95" t="s">
        <v>520</v>
      </c>
      <c r="G20"/>
      <c r="K20"/>
      <c r="M20"/>
      <c r="N20"/>
      <c r="O20"/>
      <c r="Q20"/>
      <c r="R20"/>
      <c r="S20"/>
      <c r="T20"/>
      <c r="U20"/>
      <c r="V20"/>
      <c r="W20"/>
      <c r="X20"/>
      <c r="Y20"/>
      <c r="AA20"/>
      <c r="AB20"/>
      <c r="AC20"/>
      <c r="AE20"/>
      <c r="AF20"/>
      <c r="AG20"/>
      <c r="AH20"/>
    </row>
    <row r="21" spans="2:34" ht="15.6" x14ac:dyDescent="0.25">
      <c r="G21"/>
      <c r="M21"/>
      <c r="N21"/>
      <c r="O21"/>
      <c r="Q21"/>
      <c r="R21"/>
      <c r="S21"/>
      <c r="T21"/>
      <c r="U21"/>
      <c r="V21"/>
      <c r="W21"/>
      <c r="X21"/>
      <c r="Y21"/>
      <c r="AA21"/>
      <c r="AB21"/>
      <c r="AC21"/>
      <c r="AE21"/>
      <c r="AF21"/>
      <c r="AG21"/>
      <c r="AH21"/>
    </row>
    <row r="22" spans="2:34" ht="15.6" x14ac:dyDescent="0.25">
      <c r="B22" s="96"/>
      <c r="C22" s="97" t="s">
        <v>521</v>
      </c>
      <c r="D22" s="98"/>
      <c r="E22" s="98"/>
      <c r="F22" s="98"/>
      <c r="G22" s="98"/>
      <c r="H22" s="98"/>
      <c r="I22" s="98"/>
      <c r="J22" s="99"/>
      <c r="K22"/>
      <c r="M22"/>
      <c r="N22"/>
      <c r="O22"/>
      <c r="Q22"/>
      <c r="R22"/>
      <c r="S22"/>
      <c r="T22"/>
      <c r="U22"/>
      <c r="V22"/>
      <c r="W22"/>
      <c r="X22"/>
      <c r="Y22"/>
      <c r="AA22"/>
      <c r="AB22"/>
      <c r="AC22"/>
      <c r="AE22"/>
      <c r="AF22"/>
      <c r="AG22"/>
      <c r="AH22"/>
    </row>
    <row r="23" spans="2:34" ht="15.6" x14ac:dyDescent="0.25">
      <c r="B23" s="100" t="s">
        <v>8</v>
      </c>
      <c r="C23" s="90" t="s">
        <v>522</v>
      </c>
      <c r="D23" s="91" t="s">
        <v>523</v>
      </c>
      <c r="E23" s="91" t="s">
        <v>524</v>
      </c>
      <c r="F23" s="91" t="s">
        <v>525</v>
      </c>
      <c r="G23" s="91" t="s">
        <v>526</v>
      </c>
      <c r="H23" s="91" t="s">
        <v>1</v>
      </c>
      <c r="I23" s="91" t="s">
        <v>527</v>
      </c>
      <c r="J23" s="101" t="s">
        <v>528</v>
      </c>
      <c r="K23"/>
      <c r="M23"/>
      <c r="N23"/>
      <c r="O23"/>
      <c r="Q23"/>
      <c r="R23"/>
      <c r="S23"/>
      <c r="T23"/>
      <c r="U23"/>
      <c r="V23"/>
      <c r="W23"/>
      <c r="X23"/>
      <c r="Y23"/>
      <c r="AA23"/>
      <c r="AB23"/>
      <c r="AC23"/>
      <c r="AE23"/>
      <c r="AF23"/>
      <c r="AG23"/>
      <c r="AH23"/>
    </row>
    <row r="24" spans="2:34" ht="15.6" x14ac:dyDescent="0.25">
      <c r="B24" s="102" t="s">
        <v>530</v>
      </c>
      <c r="C24" s="92">
        <v>0</v>
      </c>
      <c r="D24" s="93">
        <v>0</v>
      </c>
      <c r="E24" s="93">
        <v>0</v>
      </c>
      <c r="F24" s="93">
        <v>0</v>
      </c>
      <c r="G24" s="93">
        <v>0</v>
      </c>
      <c r="H24" s="93">
        <v>0</v>
      </c>
      <c r="I24" s="93">
        <v>0</v>
      </c>
      <c r="J24" s="103">
        <v>0</v>
      </c>
      <c r="K24"/>
      <c r="M24"/>
      <c r="N24"/>
      <c r="O24"/>
      <c r="Q24"/>
      <c r="R24"/>
      <c r="S24"/>
      <c r="T24"/>
      <c r="U24"/>
      <c r="V24"/>
      <c r="W24"/>
      <c r="X24"/>
      <c r="Y24"/>
      <c r="AA24"/>
      <c r="AB24"/>
      <c r="AC24"/>
      <c r="AE24"/>
      <c r="AF24"/>
      <c r="AG24"/>
      <c r="AH24"/>
    </row>
    <row r="25" spans="2:34" ht="15.6" x14ac:dyDescent="0.25">
      <c r="B25" s="104" t="s">
        <v>531</v>
      </c>
      <c r="C25" s="105">
        <v>0</v>
      </c>
      <c r="D25" s="106">
        <v>0</v>
      </c>
      <c r="E25" s="106">
        <v>0</v>
      </c>
      <c r="F25" s="106">
        <v>0</v>
      </c>
      <c r="G25" s="106">
        <v>0</v>
      </c>
      <c r="H25" s="106">
        <v>0</v>
      </c>
      <c r="I25" s="106">
        <v>0</v>
      </c>
      <c r="J25" s="107">
        <v>0</v>
      </c>
      <c r="K25"/>
      <c r="M25"/>
      <c r="N25"/>
      <c r="O25"/>
      <c r="Q25"/>
      <c r="R25"/>
      <c r="S25"/>
      <c r="T25"/>
      <c r="U25"/>
      <c r="V25"/>
      <c r="W25"/>
      <c r="X25"/>
      <c r="Y25"/>
      <c r="AA25"/>
      <c r="AB25"/>
      <c r="AC25"/>
      <c r="AE25"/>
      <c r="AF25"/>
      <c r="AG25"/>
      <c r="AH25"/>
    </row>
    <row r="26" spans="2:34" ht="15.6" x14ac:dyDescent="0.25">
      <c r="B26"/>
      <c r="C26"/>
      <c r="D26"/>
      <c r="E26"/>
      <c r="F26"/>
      <c r="G26"/>
      <c r="H26"/>
      <c r="I26"/>
      <c r="J26"/>
      <c r="K26"/>
      <c r="M26"/>
      <c r="N26"/>
      <c r="O26"/>
      <c r="Q26"/>
      <c r="R26"/>
      <c r="S26"/>
      <c r="T26"/>
      <c r="U26"/>
      <c r="V26"/>
      <c r="W26"/>
      <c r="X26"/>
      <c r="Y26"/>
      <c r="AA26"/>
      <c r="AB26"/>
      <c r="AC26"/>
      <c r="AE26"/>
      <c r="AF26"/>
      <c r="AG26"/>
      <c r="AH26"/>
    </row>
    <row r="27" spans="2:34" ht="15.6" x14ac:dyDescent="0.25">
      <c r="B27"/>
      <c r="C27"/>
      <c r="D27"/>
      <c r="E27"/>
      <c r="F27"/>
      <c r="G27"/>
      <c r="H27"/>
      <c r="I27"/>
      <c r="J27"/>
      <c r="K27"/>
      <c r="M27"/>
      <c r="N27"/>
      <c r="O27"/>
      <c r="Q27"/>
      <c r="R27"/>
      <c r="S27"/>
      <c r="T27"/>
      <c r="U27"/>
      <c r="V27"/>
      <c r="W27"/>
      <c r="X27"/>
      <c r="Y27"/>
      <c r="AA27"/>
      <c r="AB27"/>
      <c r="AC27"/>
      <c r="AE27"/>
      <c r="AF27"/>
      <c r="AG27"/>
      <c r="AH27"/>
    </row>
    <row r="28" spans="2:34" ht="15.6" x14ac:dyDescent="0.25">
      <c r="B28"/>
      <c r="C28"/>
      <c r="D28"/>
      <c r="E28"/>
      <c r="F28"/>
      <c r="G28"/>
      <c r="H28"/>
      <c r="I28"/>
      <c r="J28"/>
      <c r="K28"/>
      <c r="M28"/>
      <c r="N28"/>
      <c r="O28"/>
      <c r="Q28"/>
      <c r="R28"/>
      <c r="S28"/>
      <c r="T28"/>
      <c r="U28"/>
      <c r="V28"/>
      <c r="W28"/>
      <c r="X28"/>
      <c r="Y28"/>
      <c r="AA28"/>
      <c r="AB28"/>
      <c r="AC28"/>
      <c r="AE28"/>
      <c r="AF28"/>
      <c r="AG28"/>
      <c r="AH28"/>
    </row>
    <row r="29" spans="2:34" ht="15.6" x14ac:dyDescent="0.25">
      <c r="B29"/>
      <c r="C29"/>
      <c r="D29"/>
      <c r="E29"/>
      <c r="F29"/>
      <c r="G29"/>
      <c r="H29"/>
      <c r="I29"/>
      <c r="J29"/>
      <c r="K29"/>
      <c r="M29"/>
      <c r="N29"/>
      <c r="O29"/>
      <c r="Q29"/>
      <c r="R29"/>
      <c r="S29"/>
      <c r="T29"/>
      <c r="U29"/>
      <c r="V29"/>
      <c r="W29"/>
      <c r="X29"/>
      <c r="Y29"/>
      <c r="AA29"/>
      <c r="AB29"/>
      <c r="AC29"/>
      <c r="AE29"/>
      <c r="AF29"/>
      <c r="AG29"/>
      <c r="AH29"/>
    </row>
    <row r="30" spans="2:34" ht="15.6" x14ac:dyDescent="0.25">
      <c r="B30"/>
      <c r="C30"/>
      <c r="D30"/>
      <c r="E30"/>
      <c r="F30"/>
      <c r="G30"/>
      <c r="H30"/>
      <c r="I30"/>
      <c r="J30"/>
      <c r="K30"/>
      <c r="M30"/>
      <c r="N30"/>
      <c r="O30"/>
      <c r="Q30"/>
      <c r="R30"/>
      <c r="S30"/>
      <c r="T30"/>
      <c r="U30"/>
      <c r="V30"/>
      <c r="W30"/>
      <c r="X30"/>
      <c r="Y30"/>
      <c r="AA30"/>
      <c r="AB30"/>
      <c r="AC30"/>
      <c r="AE30"/>
      <c r="AF30"/>
      <c r="AG30"/>
      <c r="AH30"/>
    </row>
    <row r="31" spans="2:34" ht="15.6" x14ac:dyDescent="0.25">
      <c r="B31"/>
      <c r="C31"/>
      <c r="D31"/>
      <c r="E31"/>
      <c r="F31"/>
      <c r="G31"/>
      <c r="H31"/>
      <c r="I31"/>
      <c r="J31"/>
      <c r="K31"/>
      <c r="M31"/>
      <c r="N31"/>
      <c r="O31"/>
      <c r="Q31"/>
      <c r="R31"/>
      <c r="S31"/>
      <c r="T31"/>
      <c r="U31"/>
      <c r="V31"/>
      <c r="W31"/>
      <c r="X31"/>
      <c r="Y31"/>
      <c r="AA31"/>
      <c r="AB31"/>
      <c r="AC31"/>
      <c r="AE31"/>
      <c r="AF31"/>
      <c r="AG31"/>
      <c r="AH31"/>
    </row>
    <row r="32" spans="2:34" ht="15.6" x14ac:dyDescent="0.25">
      <c r="B32"/>
      <c r="C32"/>
      <c r="D32"/>
      <c r="E32"/>
      <c r="F32"/>
      <c r="G32"/>
      <c r="H32"/>
      <c r="I32"/>
      <c r="J32"/>
      <c r="K32"/>
      <c r="M32"/>
      <c r="N32"/>
      <c r="O32"/>
      <c r="Q32"/>
      <c r="R32"/>
      <c r="S32"/>
      <c r="T32"/>
      <c r="U32"/>
      <c r="V32"/>
      <c r="AA32"/>
      <c r="AB32"/>
      <c r="AC32"/>
      <c r="AE32"/>
      <c r="AF32"/>
      <c r="AG32"/>
      <c r="AH32"/>
    </row>
    <row r="33" spans="2:34" ht="15.6" x14ac:dyDescent="0.25">
      <c r="B33"/>
      <c r="C33"/>
      <c r="D33"/>
      <c r="E33"/>
      <c r="F33"/>
      <c r="G33"/>
      <c r="H33"/>
      <c r="I33"/>
      <c r="J33"/>
      <c r="K33"/>
      <c r="M33"/>
      <c r="N33"/>
      <c r="O33"/>
      <c r="Q33"/>
      <c r="R33"/>
      <c r="S33"/>
      <c r="T33"/>
      <c r="U33"/>
      <c r="V33"/>
      <c r="AA33"/>
      <c r="AB33"/>
      <c r="AC33"/>
      <c r="AE33"/>
      <c r="AF33"/>
      <c r="AG33"/>
      <c r="AH33"/>
    </row>
    <row r="34" spans="2:34" ht="15.6" x14ac:dyDescent="0.25">
      <c r="B34"/>
      <c r="C34"/>
      <c r="D34"/>
      <c r="E34"/>
      <c r="F34"/>
      <c r="G34"/>
      <c r="H34"/>
      <c r="I34"/>
      <c r="J34"/>
      <c r="K34"/>
      <c r="M34"/>
      <c r="N34"/>
      <c r="O34"/>
      <c r="Q34"/>
      <c r="R34"/>
      <c r="S34"/>
      <c r="T34"/>
      <c r="U34"/>
      <c r="V34"/>
      <c r="AA34"/>
      <c r="AB34"/>
      <c r="AC34"/>
      <c r="AE34"/>
      <c r="AF34"/>
      <c r="AG34"/>
      <c r="AH34"/>
    </row>
    <row r="35" spans="2:34" ht="15.6" x14ac:dyDescent="0.25">
      <c r="B35"/>
      <c r="C35"/>
      <c r="D35"/>
      <c r="E35"/>
      <c r="F35"/>
      <c r="G35"/>
      <c r="H35"/>
      <c r="I35"/>
      <c r="J35"/>
      <c r="K35"/>
      <c r="M35"/>
      <c r="N35"/>
      <c r="O35"/>
      <c r="Q35"/>
      <c r="R35"/>
      <c r="S35"/>
      <c r="T35"/>
      <c r="U35"/>
      <c r="V35"/>
      <c r="AA35"/>
      <c r="AB35"/>
      <c r="AC35"/>
      <c r="AE35"/>
      <c r="AF35"/>
      <c r="AG35"/>
      <c r="AH35"/>
    </row>
    <row r="36" spans="2:34" ht="15.6" x14ac:dyDescent="0.25">
      <c r="B36"/>
      <c r="C36"/>
      <c r="D36"/>
      <c r="E36"/>
      <c r="F36"/>
      <c r="G36"/>
      <c r="H36"/>
      <c r="I36"/>
      <c r="J36"/>
      <c r="K36"/>
      <c r="M36"/>
      <c r="N36"/>
      <c r="O36"/>
      <c r="Q36"/>
      <c r="R36"/>
      <c r="S36"/>
      <c r="T36"/>
      <c r="U36"/>
      <c r="V36"/>
      <c r="AA36"/>
      <c r="AB36"/>
      <c r="AC36"/>
      <c r="AE36"/>
      <c r="AF36"/>
      <c r="AG36"/>
      <c r="AH36"/>
    </row>
    <row r="37" spans="2:34" ht="15.6" x14ac:dyDescent="0.25">
      <c r="B37"/>
      <c r="C37"/>
      <c r="D37"/>
      <c r="E37"/>
      <c r="F37"/>
      <c r="G37"/>
      <c r="H37"/>
      <c r="I37"/>
      <c r="J37"/>
      <c r="K37"/>
      <c r="M37"/>
      <c r="N37"/>
      <c r="O37"/>
      <c r="Q37"/>
      <c r="R37"/>
      <c r="S37"/>
      <c r="T37"/>
      <c r="U37"/>
      <c r="V37"/>
      <c r="AA37"/>
      <c r="AB37"/>
      <c r="AC37"/>
      <c r="AE37"/>
      <c r="AF37"/>
      <c r="AG37"/>
      <c r="AH37"/>
    </row>
    <row r="38" spans="2:34" ht="15.6" x14ac:dyDescent="0.25">
      <c r="B38"/>
      <c r="C38"/>
      <c r="D38"/>
      <c r="E38"/>
      <c r="F38"/>
      <c r="G38"/>
      <c r="H38"/>
      <c r="I38"/>
      <c r="J38"/>
      <c r="K38"/>
      <c r="Q38"/>
      <c r="R38"/>
      <c r="S38"/>
      <c r="T38"/>
      <c r="U38"/>
      <c r="V38"/>
      <c r="AA38"/>
      <c r="AB38"/>
      <c r="AC38"/>
      <c r="AE38"/>
      <c r="AF38"/>
      <c r="AG38"/>
      <c r="AH38"/>
    </row>
    <row r="39" spans="2:34" ht="15.6" x14ac:dyDescent="0.25">
      <c r="B39"/>
      <c r="C39"/>
      <c r="D39"/>
      <c r="E39"/>
      <c r="F39"/>
      <c r="G39"/>
      <c r="H39"/>
      <c r="I39"/>
      <c r="J39"/>
      <c r="K39"/>
      <c r="Q39"/>
      <c r="R39"/>
      <c r="S39"/>
      <c r="T39"/>
      <c r="U39"/>
      <c r="V39"/>
      <c r="AA39"/>
      <c r="AB39"/>
      <c r="AC39"/>
      <c r="AE39"/>
      <c r="AF39"/>
      <c r="AG39"/>
      <c r="AH39"/>
    </row>
    <row r="40" spans="2:34" ht="15.6" x14ac:dyDescent="0.25">
      <c r="B40"/>
      <c r="C40"/>
      <c r="D40"/>
      <c r="E40"/>
      <c r="F40"/>
      <c r="G40"/>
      <c r="H40"/>
      <c r="I40"/>
      <c r="J40"/>
      <c r="K40"/>
      <c r="Q40"/>
      <c r="R40"/>
      <c r="S40"/>
      <c r="T40"/>
      <c r="U40"/>
      <c r="V40"/>
      <c r="AA40"/>
      <c r="AB40"/>
      <c r="AC40"/>
      <c r="AE40"/>
      <c r="AF40"/>
      <c r="AG40"/>
      <c r="AH40"/>
    </row>
    <row r="41" spans="2:34" ht="15.6" x14ac:dyDescent="0.25">
      <c r="B41"/>
      <c r="C41"/>
      <c r="D41"/>
      <c r="E41"/>
      <c r="F41"/>
      <c r="G41"/>
      <c r="H41"/>
      <c r="I41"/>
      <c r="J41"/>
      <c r="K41"/>
      <c r="Q41"/>
      <c r="R41"/>
      <c r="S41"/>
      <c r="T41"/>
      <c r="U41"/>
      <c r="V41"/>
      <c r="AA41"/>
      <c r="AB41"/>
      <c r="AC41"/>
      <c r="AE41"/>
      <c r="AF41"/>
      <c r="AG41"/>
      <c r="AH41"/>
    </row>
    <row r="42" spans="2:34" ht="15.6" x14ac:dyDescent="0.25">
      <c r="B42"/>
      <c r="C42"/>
      <c r="D42"/>
      <c r="E42"/>
      <c r="F42"/>
      <c r="G42"/>
      <c r="H42"/>
      <c r="I42"/>
      <c r="J42"/>
      <c r="K42"/>
      <c r="Q42"/>
      <c r="R42"/>
      <c r="S42"/>
      <c r="T42"/>
      <c r="U42"/>
      <c r="V42"/>
      <c r="AA42"/>
      <c r="AB42"/>
      <c r="AC42"/>
      <c r="AE42"/>
      <c r="AF42"/>
      <c r="AG42"/>
      <c r="AH42"/>
    </row>
    <row r="43" spans="2:34" ht="15.6" x14ac:dyDescent="0.25">
      <c r="B43"/>
      <c r="C43"/>
      <c r="D43"/>
      <c r="E43"/>
      <c r="F43"/>
      <c r="G43"/>
      <c r="H43"/>
      <c r="I43"/>
      <c r="J43"/>
      <c r="K43"/>
      <c r="Q43"/>
      <c r="R43"/>
      <c r="S43"/>
      <c r="T43"/>
      <c r="U43"/>
      <c r="V43"/>
      <c r="AA43"/>
      <c r="AB43"/>
      <c r="AC43"/>
      <c r="AE43"/>
      <c r="AF43"/>
      <c r="AG43"/>
      <c r="AH43"/>
    </row>
    <row r="44" spans="2:34" ht="15.6" x14ac:dyDescent="0.25">
      <c r="B44"/>
      <c r="C44"/>
      <c r="D44"/>
      <c r="E44"/>
      <c r="F44"/>
      <c r="G44"/>
      <c r="H44"/>
      <c r="I44"/>
      <c r="J44"/>
      <c r="K44"/>
      <c r="Q44"/>
      <c r="R44"/>
      <c r="S44"/>
      <c r="T44"/>
      <c r="U44"/>
      <c r="V44"/>
      <c r="AA44"/>
      <c r="AB44"/>
      <c r="AC44"/>
      <c r="AE44"/>
      <c r="AF44"/>
      <c r="AG44"/>
      <c r="AH44"/>
    </row>
    <row r="45" spans="2:34" ht="15.6" x14ac:dyDescent="0.25">
      <c r="B45"/>
      <c r="C45"/>
      <c r="D45"/>
      <c r="E45"/>
      <c r="F45"/>
      <c r="G45"/>
      <c r="H45"/>
      <c r="I45"/>
      <c r="J45"/>
      <c r="K45"/>
      <c r="Q45"/>
      <c r="R45"/>
      <c r="S45"/>
      <c r="T45"/>
      <c r="U45"/>
      <c r="V45"/>
      <c r="AA45"/>
      <c r="AB45"/>
      <c r="AC45"/>
      <c r="AE45"/>
      <c r="AF45"/>
      <c r="AG45"/>
      <c r="AH45"/>
    </row>
    <row r="46" spans="2:34" ht="15.6" x14ac:dyDescent="0.25">
      <c r="B46"/>
      <c r="C46"/>
      <c r="D46"/>
      <c r="E46"/>
      <c r="F46"/>
      <c r="G46"/>
      <c r="H46"/>
      <c r="I46"/>
      <c r="J46"/>
      <c r="K46"/>
      <c r="Q46"/>
      <c r="R46"/>
      <c r="S46"/>
      <c r="T46"/>
      <c r="U46"/>
      <c r="V46"/>
      <c r="AA46"/>
      <c r="AB46"/>
      <c r="AC46"/>
      <c r="AE46"/>
      <c r="AF46"/>
      <c r="AG46"/>
      <c r="AH46"/>
    </row>
    <row r="47" spans="2:34" ht="15.6" x14ac:dyDescent="0.25">
      <c r="B47"/>
      <c r="C47"/>
      <c r="D47"/>
      <c r="E47"/>
      <c r="F47"/>
      <c r="G47"/>
      <c r="H47"/>
      <c r="I47"/>
      <c r="J47"/>
      <c r="K47"/>
      <c r="Q47"/>
      <c r="R47"/>
      <c r="S47"/>
      <c r="T47"/>
      <c r="U47"/>
      <c r="V47"/>
      <c r="AA47"/>
      <c r="AB47"/>
      <c r="AC47"/>
      <c r="AE47"/>
      <c r="AF47"/>
      <c r="AG47"/>
      <c r="AH47"/>
    </row>
    <row r="48" spans="2:34" ht="15.6" x14ac:dyDescent="0.25">
      <c r="B48"/>
      <c r="C48"/>
      <c r="D48"/>
      <c r="E48"/>
      <c r="F48"/>
      <c r="G48"/>
      <c r="H48"/>
      <c r="I48"/>
      <c r="J48"/>
      <c r="K48"/>
      <c r="Q48"/>
      <c r="R48"/>
      <c r="S48"/>
      <c r="T48"/>
      <c r="U48"/>
      <c r="V48"/>
      <c r="AA48"/>
      <c r="AB48"/>
      <c r="AC48"/>
      <c r="AE48"/>
      <c r="AF48"/>
      <c r="AG48"/>
      <c r="AH48"/>
    </row>
    <row r="49" spans="2:34" ht="15.6" x14ac:dyDescent="0.25">
      <c r="B49"/>
      <c r="C49"/>
      <c r="D49"/>
      <c r="E49"/>
      <c r="F49"/>
      <c r="G49"/>
      <c r="H49"/>
      <c r="I49"/>
      <c r="J49"/>
      <c r="K49"/>
      <c r="Q49"/>
      <c r="R49"/>
      <c r="S49"/>
      <c r="T49"/>
      <c r="U49"/>
      <c r="V49"/>
      <c r="AA49"/>
      <c r="AB49"/>
      <c r="AC49"/>
      <c r="AE49"/>
      <c r="AF49"/>
      <c r="AG49"/>
      <c r="AH49"/>
    </row>
    <row r="50" spans="2:34" ht="15.6" x14ac:dyDescent="0.25">
      <c r="Q50"/>
      <c r="R50"/>
      <c r="S50"/>
      <c r="T50"/>
      <c r="U50"/>
      <c r="V50"/>
      <c r="AA50"/>
      <c r="AB50"/>
      <c r="AC50"/>
      <c r="AE50"/>
      <c r="AF50"/>
      <c r="AG50"/>
      <c r="AH50"/>
    </row>
    <row r="51" spans="2:34" ht="15.6" x14ac:dyDescent="0.25">
      <c r="Q51"/>
      <c r="R51"/>
      <c r="S51"/>
      <c r="T51"/>
      <c r="U51"/>
      <c r="V51"/>
      <c r="AA51"/>
      <c r="AB51"/>
      <c r="AC51"/>
      <c r="AE51"/>
      <c r="AF51"/>
      <c r="AG51"/>
      <c r="AH51"/>
    </row>
    <row r="52" spans="2:34" ht="15.6" x14ac:dyDescent="0.25">
      <c r="Q52"/>
      <c r="R52"/>
      <c r="S52"/>
      <c r="T52"/>
      <c r="U52"/>
      <c r="V52"/>
      <c r="AA52"/>
      <c r="AB52"/>
      <c r="AC52"/>
      <c r="AE52"/>
      <c r="AF52"/>
      <c r="AG52"/>
      <c r="AH52"/>
    </row>
    <row r="53" spans="2:34" ht="15.6" x14ac:dyDescent="0.25">
      <c r="Q53"/>
      <c r="R53"/>
      <c r="S53"/>
      <c r="T53"/>
      <c r="U53"/>
      <c r="V53"/>
      <c r="AA53"/>
      <c r="AB53"/>
      <c r="AC53"/>
      <c r="AE53"/>
      <c r="AF53"/>
      <c r="AG53"/>
      <c r="AH53"/>
    </row>
    <row r="54" spans="2:34" ht="15.6" x14ac:dyDescent="0.25">
      <c r="Q54"/>
      <c r="R54"/>
      <c r="S54"/>
      <c r="T54"/>
      <c r="U54"/>
      <c r="V54"/>
      <c r="AA54"/>
      <c r="AB54"/>
      <c r="AC54"/>
      <c r="AE54"/>
      <c r="AF54"/>
      <c r="AG54"/>
      <c r="AH54"/>
    </row>
    <row r="55" spans="2:34" ht="15.6" x14ac:dyDescent="0.25">
      <c r="Q55"/>
      <c r="R55"/>
      <c r="S55"/>
      <c r="T55"/>
      <c r="U55"/>
      <c r="V55"/>
      <c r="AA55"/>
      <c r="AB55"/>
      <c r="AC55"/>
      <c r="AE55"/>
      <c r="AF55"/>
      <c r="AG55"/>
      <c r="AH55"/>
    </row>
    <row r="56" spans="2:34" ht="15.6" x14ac:dyDescent="0.25">
      <c r="AA56"/>
      <c r="AB56"/>
      <c r="AC56"/>
      <c r="AE56"/>
      <c r="AF56"/>
      <c r="AG56"/>
      <c r="AH56"/>
    </row>
    <row r="57" spans="2:34" ht="15.6" x14ac:dyDescent="0.25">
      <c r="AA57"/>
      <c r="AB57"/>
      <c r="AC57"/>
      <c r="AE57"/>
      <c r="AF57"/>
      <c r="AG57"/>
      <c r="AH57"/>
    </row>
    <row r="58" spans="2:34" ht="15.6" x14ac:dyDescent="0.25">
      <c r="AA58"/>
      <c r="AB58"/>
      <c r="AC58"/>
      <c r="AE58"/>
      <c r="AF58"/>
      <c r="AG58"/>
      <c r="AH58"/>
    </row>
    <row r="59" spans="2:34" ht="15.6" x14ac:dyDescent="0.25">
      <c r="AA59"/>
      <c r="AB59"/>
      <c r="AC59"/>
      <c r="AE59"/>
      <c r="AF59"/>
      <c r="AG59"/>
      <c r="AH59"/>
    </row>
    <row r="60" spans="2:34" ht="15.6" x14ac:dyDescent="0.25">
      <c r="AA60"/>
      <c r="AB60"/>
      <c r="AC60"/>
      <c r="AE60"/>
      <c r="AF60"/>
      <c r="AG60"/>
      <c r="AH60"/>
    </row>
    <row r="61" spans="2:34" ht="15.6" x14ac:dyDescent="0.25">
      <c r="AA61"/>
      <c r="AB61"/>
      <c r="AC61"/>
      <c r="AE61"/>
      <c r="AF61"/>
      <c r="AG61"/>
      <c r="AH61"/>
    </row>
    <row r="62" spans="2:34" ht="15.6" x14ac:dyDescent="0.25">
      <c r="AA62"/>
      <c r="AB62"/>
      <c r="AC62"/>
      <c r="AE62"/>
      <c r="AF62"/>
      <c r="AG62"/>
      <c r="AH62"/>
    </row>
    <row r="63" spans="2:34" ht="15.6" x14ac:dyDescent="0.25">
      <c r="AA63"/>
      <c r="AB63"/>
      <c r="AC63"/>
      <c r="AE63"/>
      <c r="AF63"/>
      <c r="AG63"/>
      <c r="AH63"/>
    </row>
    <row r="64" spans="2:34" ht="15.6" x14ac:dyDescent="0.25">
      <c r="AA64"/>
      <c r="AB64"/>
      <c r="AC64"/>
      <c r="AE64"/>
      <c r="AF64"/>
      <c r="AG64"/>
      <c r="AH64"/>
    </row>
    <row r="65" spans="27:34" ht="15.6" x14ac:dyDescent="0.25">
      <c r="AA65"/>
      <c r="AB65"/>
      <c r="AC65"/>
      <c r="AE65"/>
      <c r="AF65"/>
      <c r="AG65"/>
      <c r="AH65"/>
    </row>
    <row r="66" spans="27:34" ht="15.6" x14ac:dyDescent="0.25">
      <c r="AA66"/>
      <c r="AB66"/>
      <c r="AC66"/>
      <c r="AE66"/>
      <c r="AF66"/>
      <c r="AG66"/>
      <c r="AH66"/>
    </row>
    <row r="67" spans="27:34" ht="15.6" x14ac:dyDescent="0.25">
      <c r="AA67"/>
      <c r="AB67"/>
      <c r="AC67"/>
      <c r="AE67"/>
      <c r="AF67"/>
      <c r="AG67"/>
      <c r="AH67"/>
    </row>
    <row r="68" spans="27:34" ht="15.6" x14ac:dyDescent="0.25">
      <c r="AA68"/>
      <c r="AB68"/>
      <c r="AC68"/>
      <c r="AE68"/>
      <c r="AF68"/>
      <c r="AG68"/>
      <c r="AH68"/>
    </row>
    <row r="69" spans="27:34" ht="15.6" x14ac:dyDescent="0.25">
      <c r="AA69"/>
      <c r="AB69"/>
      <c r="AC69"/>
      <c r="AE69"/>
      <c r="AF69"/>
      <c r="AG69"/>
      <c r="AH69"/>
    </row>
    <row r="70" spans="27:34" ht="15.6" x14ac:dyDescent="0.25">
      <c r="AA70"/>
      <c r="AB70"/>
      <c r="AC70"/>
      <c r="AE70"/>
      <c r="AF70"/>
      <c r="AG70"/>
      <c r="AH70"/>
    </row>
    <row r="71" spans="27:34" ht="15.6" x14ac:dyDescent="0.25">
      <c r="AA71"/>
      <c r="AB71"/>
      <c r="AC71"/>
      <c r="AE71"/>
      <c r="AF71"/>
      <c r="AG71"/>
      <c r="AH71"/>
    </row>
    <row r="72" spans="27:34" ht="15.6" x14ac:dyDescent="0.25">
      <c r="AA72"/>
      <c r="AB72"/>
      <c r="AC72"/>
      <c r="AE72"/>
      <c r="AF72"/>
      <c r="AG72"/>
      <c r="AH72"/>
    </row>
    <row r="73" spans="27:34" ht="15.6" x14ac:dyDescent="0.25">
      <c r="AA73"/>
      <c r="AB73"/>
      <c r="AC73"/>
      <c r="AE73"/>
      <c r="AF73"/>
      <c r="AG73"/>
      <c r="AH73"/>
    </row>
    <row r="74" spans="27:34" ht="15.6" x14ac:dyDescent="0.25">
      <c r="AA74"/>
      <c r="AB74"/>
      <c r="AC74"/>
      <c r="AE74"/>
      <c r="AF74"/>
      <c r="AG74"/>
      <c r="AH74"/>
    </row>
    <row r="75" spans="27:34" ht="15.6" x14ac:dyDescent="0.25">
      <c r="AA75"/>
      <c r="AB75"/>
      <c r="AC75"/>
      <c r="AE75"/>
      <c r="AF75"/>
      <c r="AG75"/>
      <c r="AH75"/>
    </row>
    <row r="76" spans="27:34" ht="15.6" x14ac:dyDescent="0.25">
      <c r="AA76"/>
      <c r="AB76"/>
      <c r="AC76"/>
      <c r="AE76"/>
      <c r="AF76"/>
      <c r="AG76"/>
      <c r="AH76"/>
    </row>
    <row r="77" spans="27:34" ht="15.6" x14ac:dyDescent="0.25">
      <c r="AA77"/>
      <c r="AB77"/>
      <c r="AC77"/>
      <c r="AE77"/>
      <c r="AF77"/>
      <c r="AG77"/>
      <c r="AH77"/>
    </row>
    <row r="78" spans="27:34" ht="15.6" x14ac:dyDescent="0.25">
      <c r="AA78"/>
      <c r="AB78"/>
      <c r="AC78"/>
      <c r="AE78"/>
      <c r="AF78"/>
      <c r="AG78"/>
      <c r="AH78"/>
    </row>
    <row r="79" spans="27:34" ht="15.6" x14ac:dyDescent="0.25">
      <c r="AE79"/>
      <c r="AF79"/>
      <c r="AG79"/>
      <c r="AH79"/>
    </row>
    <row r="80" spans="27:34" ht="15.6" x14ac:dyDescent="0.25">
      <c r="AE80"/>
      <c r="AF80"/>
      <c r="AG80"/>
      <c r="AH80"/>
    </row>
    <row r="81" spans="31:34" ht="15.6" x14ac:dyDescent="0.25">
      <c r="AE81"/>
      <c r="AF81"/>
      <c r="AG81"/>
      <c r="AH81"/>
    </row>
    <row r="82" spans="31:34" ht="15.6" x14ac:dyDescent="0.25">
      <c r="AE82"/>
      <c r="AF82"/>
      <c r="AG82"/>
      <c r="AH82"/>
    </row>
    <row r="83" spans="31:34" ht="15.6" x14ac:dyDescent="0.25">
      <c r="AE83"/>
      <c r="AF83"/>
      <c r="AG83"/>
      <c r="AH83"/>
    </row>
    <row r="84" spans="31:34" ht="15.6" x14ac:dyDescent="0.25">
      <c r="AE84"/>
      <c r="AF84"/>
      <c r="AG84"/>
      <c r="AH84"/>
    </row>
    <row r="85" spans="31:34" ht="15.6" x14ac:dyDescent="0.25">
      <c r="AE85"/>
      <c r="AF85"/>
      <c r="AG85"/>
      <c r="AH85"/>
    </row>
    <row r="86" spans="31:34" ht="15.6" x14ac:dyDescent="0.25">
      <c r="AE86"/>
      <c r="AF86"/>
      <c r="AG86"/>
      <c r="AH86"/>
    </row>
    <row r="87" spans="31:34" ht="15.6" x14ac:dyDescent="0.25">
      <c r="AE87"/>
      <c r="AF87"/>
      <c r="AG87"/>
      <c r="AH87"/>
    </row>
    <row r="88" spans="31:34" ht="15.6" x14ac:dyDescent="0.25">
      <c r="AE88"/>
      <c r="AF88"/>
      <c r="AG88"/>
      <c r="AH88"/>
    </row>
    <row r="89" spans="31:34" ht="15.6" x14ac:dyDescent="0.25">
      <c r="AE89"/>
      <c r="AF89"/>
      <c r="AG89"/>
      <c r="AH89"/>
    </row>
    <row r="90" spans="31:34" ht="15.6" x14ac:dyDescent="0.25">
      <c r="AE90"/>
      <c r="AF90"/>
      <c r="AG90"/>
      <c r="AH90"/>
    </row>
    <row r="91" spans="31:34" ht="15.6" x14ac:dyDescent="0.25">
      <c r="AE91"/>
      <c r="AF91"/>
      <c r="AG91"/>
      <c r="AH91"/>
    </row>
    <row r="92" spans="31:34" ht="15.6" x14ac:dyDescent="0.25">
      <c r="AE92"/>
      <c r="AF92"/>
      <c r="AG92"/>
      <c r="AH92"/>
    </row>
    <row r="93" spans="31:34" ht="15.6" x14ac:dyDescent="0.25">
      <c r="AE93"/>
      <c r="AF93"/>
      <c r="AG93"/>
      <c r="AH93"/>
    </row>
    <row r="94" spans="31:34" ht="15.6" x14ac:dyDescent="0.25">
      <c r="AE94"/>
      <c r="AF94"/>
      <c r="AG94"/>
      <c r="AH94"/>
    </row>
    <row r="95" spans="31:34" ht="15.6" x14ac:dyDescent="0.25">
      <c r="AE95"/>
      <c r="AF95"/>
      <c r="AG95"/>
      <c r="AH95"/>
    </row>
    <row r="96" spans="31:34" ht="15.6" x14ac:dyDescent="0.25">
      <c r="AE96"/>
      <c r="AF96"/>
      <c r="AG96"/>
      <c r="AH96"/>
    </row>
    <row r="97" spans="31:34" ht="15.6" x14ac:dyDescent="0.25">
      <c r="AE97"/>
      <c r="AF97"/>
      <c r="AG97"/>
      <c r="AH97"/>
    </row>
  </sheetData>
  <mergeCells count="7">
    <mergeCell ref="AE1:AG1"/>
    <mergeCell ref="B19:D19"/>
    <mergeCell ref="B1:D1"/>
    <mergeCell ref="M1:O1"/>
    <mergeCell ref="Q1:S1"/>
    <mergeCell ref="W1:Y1"/>
    <mergeCell ref="AA1:AC1"/>
  </mergeCells>
  <phoneticPr fontId="17" type="noConversion"/>
  <pageMargins left="0.75" right="0.75" top="1" bottom="1" header="0.5" footer="0.5"/>
  <pageSetup paperSize="9" orientation="portrait" horizontalDpi="1200" verticalDpi="12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16"/>
  <sheetViews>
    <sheetView topLeftCell="A4" workbookViewId="0">
      <selection activeCell="B18" sqref="B18"/>
    </sheetView>
  </sheetViews>
  <sheetFormatPr defaultColWidth="9" defaultRowHeight="15.6" x14ac:dyDescent="0.25"/>
  <cols>
    <col min="1" max="1" width="2.69921875" style="37" customWidth="1"/>
    <col min="2" max="2" width="110.69921875" style="37" customWidth="1"/>
    <col min="3" max="16384" width="9" style="37"/>
  </cols>
  <sheetData>
    <row r="1" spans="2:2" ht="85.2" x14ac:dyDescent="0.25">
      <c r="B1" s="38" t="s">
        <v>536</v>
      </c>
    </row>
    <row r="3" spans="2:2" x14ac:dyDescent="0.25">
      <c r="B3" s="37" t="s">
        <v>537</v>
      </c>
    </row>
    <row r="4" spans="2:2" ht="37.200000000000003" x14ac:dyDescent="0.25">
      <c r="B4" s="38" t="s">
        <v>538</v>
      </c>
    </row>
    <row r="6" spans="2:2" x14ac:dyDescent="0.25">
      <c r="B6" s="37" t="s">
        <v>539</v>
      </c>
    </row>
    <row r="7" spans="2:2" ht="37.200000000000003" x14ac:dyDescent="0.25">
      <c r="B7" s="38" t="s">
        <v>540</v>
      </c>
    </row>
    <row r="9" spans="2:2" x14ac:dyDescent="0.25">
      <c r="B9" s="37" t="s">
        <v>541</v>
      </c>
    </row>
    <row r="10" spans="2:2" ht="37.200000000000003" x14ac:dyDescent="0.25">
      <c r="B10" s="38" t="s">
        <v>542</v>
      </c>
    </row>
    <row r="11" spans="2:2" x14ac:dyDescent="0.25">
      <c r="B11" s="38"/>
    </row>
    <row r="12" spans="2:2" x14ac:dyDescent="0.25">
      <c r="B12" s="37" t="s">
        <v>543</v>
      </c>
    </row>
    <row r="13" spans="2:2" ht="49.2" x14ac:dyDescent="0.25">
      <c r="B13" s="38" t="s">
        <v>544</v>
      </c>
    </row>
    <row r="15" spans="2:2" x14ac:dyDescent="0.25">
      <c r="B15" s="37" t="s">
        <v>545</v>
      </c>
    </row>
    <row r="16" spans="2:2" ht="25.2" x14ac:dyDescent="0.25">
      <c r="B16" s="38" t="s">
        <v>546</v>
      </c>
    </row>
  </sheetData>
  <phoneticPr fontId="17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3"/>
  <sheetViews>
    <sheetView zoomScale="90" zoomScaleNormal="90" workbookViewId="0">
      <pane ySplit="1" topLeftCell="A2" activePane="bottomLeft" state="frozen"/>
      <selection pane="bottomLeft" activeCell="D35" sqref="D35"/>
    </sheetView>
  </sheetViews>
  <sheetFormatPr defaultColWidth="9.69921875" defaultRowHeight="12" x14ac:dyDescent="0.25"/>
  <cols>
    <col min="1" max="1" width="1.5" style="34" customWidth="1"/>
    <col min="2" max="2" width="10.19921875" style="34" customWidth="1"/>
    <col min="3" max="4" width="8.19921875" style="34" customWidth="1"/>
    <col min="5" max="5" width="8.5" style="34" customWidth="1"/>
    <col min="6" max="17" width="11.19921875" style="34" customWidth="1"/>
    <col min="18" max="18" width="8.19921875" style="34" customWidth="1"/>
    <col min="19" max="19" width="8.69921875" style="34" customWidth="1"/>
    <col min="20" max="20" width="8.5" style="34" customWidth="1"/>
    <col min="21" max="23" width="8.19921875" style="34" customWidth="1"/>
    <col min="24" max="16384" width="9.69921875" style="34"/>
  </cols>
  <sheetData>
    <row r="1" spans="2:32" ht="20.399999999999999" x14ac:dyDescent="0.25">
      <c r="B1" s="146" t="s">
        <v>547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36"/>
      <c r="P1" s="36"/>
      <c r="Q1" s="36"/>
    </row>
    <row r="2" spans="2:32" ht="15.6" x14ac:dyDescent="0.25">
      <c r="B2" s="118"/>
      <c r="C2" s="97" t="s">
        <v>15</v>
      </c>
      <c r="D2" s="119" t="s">
        <v>521</v>
      </c>
      <c r="E2" s="120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2:32" ht="15.6" x14ac:dyDescent="0.25">
      <c r="B3" s="121"/>
      <c r="C3" s="126" t="s">
        <v>552</v>
      </c>
      <c r="D3" s="126" t="s">
        <v>553</v>
      </c>
      <c r="E3" s="126" t="s">
        <v>554</v>
      </c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</row>
    <row r="4" spans="2:32" ht="15.6" x14ac:dyDescent="0.25">
      <c r="B4" s="100" t="s">
        <v>13</v>
      </c>
      <c r="C4" s="127"/>
      <c r="D4" s="127"/>
      <c r="E4" s="127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</row>
    <row r="5" spans="2:32" ht="15.6" x14ac:dyDescent="0.25">
      <c r="B5" s="125" t="s">
        <v>531</v>
      </c>
      <c r="C5" s="122"/>
      <c r="D5" s="123"/>
      <c r="E5" s="124" t="e">
        <v>#DIV/0!</v>
      </c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</row>
    <row r="6" spans="2:32" ht="15.6" x14ac:dyDescent="0.2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</row>
    <row r="7" spans="2:32" ht="15.6" x14ac:dyDescent="0.25"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</row>
    <row r="8" spans="2:32" ht="15.6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2:32" ht="15.6" x14ac:dyDescent="0.25"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</row>
    <row r="10" spans="2:32" ht="15.6" x14ac:dyDescent="0.25"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</row>
    <row r="13" spans="2:32" x14ac:dyDescent="0.25">
      <c r="F13" s="35"/>
    </row>
  </sheetData>
  <mergeCells count="1">
    <mergeCell ref="B1:N1"/>
  </mergeCells>
  <phoneticPr fontId="1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44"/>
  <sheetViews>
    <sheetView workbookViewId="0">
      <selection activeCell="Q17" sqref="Q17"/>
    </sheetView>
  </sheetViews>
  <sheetFormatPr defaultColWidth="8" defaultRowHeight="13.2" x14ac:dyDescent="0.25"/>
  <cols>
    <col min="1" max="1" width="18.69921875" style="2" customWidth="1"/>
    <col min="2" max="2" width="13.5" style="2" customWidth="1"/>
    <col min="3" max="3" width="6.69921875" style="2" customWidth="1"/>
    <col min="4" max="4" width="15.19921875" style="2" customWidth="1"/>
    <col min="5" max="10" width="8" style="2" customWidth="1"/>
    <col min="11" max="11" width="1.69921875" style="2" customWidth="1"/>
    <col min="12" max="12" width="11.19921875" style="2" customWidth="1"/>
    <col min="13" max="13" width="1.69921875" style="2" customWidth="1"/>
    <col min="14" max="14" width="7.69921875" style="2" customWidth="1"/>
    <col min="15" max="15" width="1.69921875" style="2" customWidth="1"/>
    <col min="16" max="16" width="9.69921875" style="2" customWidth="1"/>
    <col min="17" max="17" width="1.69921875" style="2" customWidth="1"/>
    <col min="18" max="18" width="9.19921875" style="2" customWidth="1"/>
    <col min="19" max="19" width="8" style="2"/>
    <col min="20" max="20" width="1.69921875" style="2" customWidth="1"/>
    <col min="21" max="21" width="4.69921875" style="2" customWidth="1"/>
    <col min="22" max="23" width="5" style="2" customWidth="1"/>
    <col min="24" max="24" width="8" style="2"/>
    <col min="25" max="25" width="7.19921875" style="2" customWidth="1"/>
    <col min="26" max="26" width="3.19921875" style="2" customWidth="1"/>
    <col min="27" max="27" width="8.19921875" style="2" customWidth="1"/>
    <col min="28" max="16384" width="8" style="2"/>
  </cols>
  <sheetData>
    <row r="1" spans="1:27" s="1" customFormat="1" x14ac:dyDescent="0.25">
      <c r="A1" s="1" t="s">
        <v>555</v>
      </c>
      <c r="B1" s="1" t="s">
        <v>556</v>
      </c>
      <c r="C1" s="2"/>
      <c r="D1" s="1" t="s">
        <v>555</v>
      </c>
      <c r="G1" s="1" t="s">
        <v>556</v>
      </c>
      <c r="J1" s="19" t="s">
        <v>557</v>
      </c>
      <c r="L1" s="20" t="s">
        <v>558</v>
      </c>
      <c r="N1" s="21" t="s">
        <v>559</v>
      </c>
      <c r="P1" s="21" t="s">
        <v>560</v>
      </c>
      <c r="R1" s="29" t="s">
        <v>561</v>
      </c>
      <c r="S1" s="29" t="s">
        <v>562</v>
      </c>
      <c r="U1" s="30" t="s">
        <v>563</v>
      </c>
      <c r="V1" s="30"/>
      <c r="X1" s="30" t="s">
        <v>564</v>
      </c>
      <c r="Y1" s="21" t="s">
        <v>565</v>
      </c>
      <c r="AA1" s="30" t="s">
        <v>566</v>
      </c>
    </row>
    <row r="2" spans="1:27" x14ac:dyDescent="0.25">
      <c r="A2" s="3" t="s">
        <v>51</v>
      </c>
      <c r="B2" s="2" t="s">
        <v>52</v>
      </c>
      <c r="D2" s="3" t="s">
        <v>51</v>
      </c>
      <c r="E2" s="2">
        <v>1</v>
      </c>
      <c r="G2" s="2" t="s">
        <v>52</v>
      </c>
      <c r="H2" s="2">
        <v>1</v>
      </c>
      <c r="J2" s="22" t="s">
        <v>567</v>
      </c>
      <c r="L2" s="23" t="s">
        <v>49</v>
      </c>
      <c r="N2" s="24" t="s">
        <v>624</v>
      </c>
      <c r="P2" s="24" t="s">
        <v>568</v>
      </c>
      <c r="R2" s="31" t="s">
        <v>701</v>
      </c>
      <c r="S2" s="31" t="s">
        <v>626</v>
      </c>
      <c r="U2" s="32" t="s">
        <v>570</v>
      </c>
      <c r="V2" s="32">
        <v>0.5</v>
      </c>
      <c r="W2" s="33"/>
      <c r="X2" s="32">
        <f>COUNTA(R2:R5)</f>
        <v>4</v>
      </c>
      <c r="Y2" s="24" t="s">
        <v>571</v>
      </c>
      <c r="Z2" s="34"/>
      <c r="AA2" s="32" t="s">
        <v>534</v>
      </c>
    </row>
    <row r="3" spans="1:27" x14ac:dyDescent="0.25">
      <c r="A3" s="3" t="s">
        <v>572</v>
      </c>
      <c r="B3" s="2" t="s">
        <v>58</v>
      </c>
      <c r="D3" s="3" t="s">
        <v>572</v>
      </c>
      <c r="E3" s="2">
        <v>2</v>
      </c>
      <c r="G3" s="2" t="s">
        <v>58</v>
      </c>
      <c r="H3" s="2">
        <v>2</v>
      </c>
      <c r="J3" s="22" t="s">
        <v>573</v>
      </c>
      <c r="L3" s="23" t="s">
        <v>574</v>
      </c>
      <c r="N3" s="24" t="s">
        <v>629</v>
      </c>
      <c r="P3" s="24" t="s">
        <v>575</v>
      </c>
      <c r="R3" s="31" t="s">
        <v>702</v>
      </c>
      <c r="S3" s="31" t="s">
        <v>626</v>
      </c>
      <c r="U3" s="32" t="s">
        <v>576</v>
      </c>
      <c r="V3" s="32">
        <v>0.5</v>
      </c>
      <c r="W3" s="33"/>
      <c r="Y3" s="24" t="s">
        <v>577</v>
      </c>
      <c r="Z3" s="34"/>
      <c r="AA3" s="32" t="s">
        <v>578</v>
      </c>
    </row>
    <row r="4" spans="1:27" x14ac:dyDescent="0.25">
      <c r="A4" s="3" t="s">
        <v>57</v>
      </c>
      <c r="B4" s="2" t="s">
        <v>60</v>
      </c>
      <c r="D4" s="3" t="s">
        <v>57</v>
      </c>
      <c r="E4" s="2">
        <v>3</v>
      </c>
      <c r="G4" s="2" t="s">
        <v>60</v>
      </c>
      <c r="H4" s="2">
        <v>3</v>
      </c>
      <c r="J4" s="22" t="s">
        <v>579</v>
      </c>
      <c r="L4" s="23" t="s">
        <v>61</v>
      </c>
      <c r="N4" s="24" t="s">
        <v>631</v>
      </c>
      <c r="P4" s="24" t="s">
        <v>48</v>
      </c>
      <c r="R4" s="31" t="s">
        <v>717</v>
      </c>
      <c r="S4" s="31" t="s">
        <v>700</v>
      </c>
      <c r="U4" s="32" t="s">
        <v>580</v>
      </c>
      <c r="V4" s="32">
        <v>0.5</v>
      </c>
      <c r="W4" s="33"/>
      <c r="AA4" s="32" t="s">
        <v>50</v>
      </c>
    </row>
    <row r="5" spans="1:27" x14ac:dyDescent="0.25">
      <c r="A5" s="3" t="s">
        <v>64</v>
      </c>
      <c r="B5" s="2" t="s">
        <v>66</v>
      </c>
      <c r="D5" s="3" t="s">
        <v>64</v>
      </c>
      <c r="E5" s="2">
        <v>4</v>
      </c>
      <c r="G5" s="2" t="s">
        <v>66</v>
      </c>
      <c r="H5" s="2">
        <v>4</v>
      </c>
      <c r="J5" s="22" t="s">
        <v>581</v>
      </c>
      <c r="L5" s="23" t="s">
        <v>548</v>
      </c>
      <c r="R5" s="31" t="s">
        <v>719</v>
      </c>
      <c r="S5" s="31" t="s">
        <v>620</v>
      </c>
      <c r="U5" s="32" t="s">
        <v>582</v>
      </c>
      <c r="V5" s="32">
        <v>0.5</v>
      </c>
      <c r="W5" s="33"/>
      <c r="AA5" s="32" t="s">
        <v>583</v>
      </c>
    </row>
    <row r="6" spans="1:27" x14ac:dyDescent="0.25">
      <c r="A6" s="4" t="s">
        <v>63</v>
      </c>
      <c r="B6" s="2" t="s">
        <v>584</v>
      </c>
      <c r="D6" s="4" t="s">
        <v>63</v>
      </c>
      <c r="E6" s="2">
        <v>5</v>
      </c>
      <c r="J6" s="22" t="s">
        <v>585</v>
      </c>
      <c r="L6" s="23" t="s">
        <v>586</v>
      </c>
      <c r="R6" s="31"/>
      <c r="S6" s="31"/>
      <c r="U6" s="32" t="s">
        <v>587</v>
      </c>
      <c r="V6" s="32">
        <v>0.75</v>
      </c>
      <c r="W6" s="33"/>
      <c r="AA6" s="32" t="s">
        <v>588</v>
      </c>
    </row>
    <row r="7" spans="1:27" x14ac:dyDescent="0.25">
      <c r="A7" s="5" t="s">
        <v>65</v>
      </c>
      <c r="D7" s="5" t="s">
        <v>65</v>
      </c>
      <c r="E7" s="2">
        <v>6</v>
      </c>
      <c r="L7" s="23" t="s">
        <v>549</v>
      </c>
      <c r="U7" s="32" t="s">
        <v>569</v>
      </c>
      <c r="V7" s="32">
        <v>1</v>
      </c>
      <c r="W7" s="33"/>
      <c r="AA7" s="32" t="s">
        <v>589</v>
      </c>
    </row>
    <row r="8" spans="1:27" x14ac:dyDescent="0.25">
      <c r="A8" s="3" t="s">
        <v>590</v>
      </c>
      <c r="D8" s="3" t="s">
        <v>590</v>
      </c>
      <c r="E8" s="2">
        <v>7</v>
      </c>
      <c r="L8" s="23" t="s">
        <v>550</v>
      </c>
      <c r="U8" s="32" t="s">
        <v>591</v>
      </c>
      <c r="V8" s="32">
        <v>1.25</v>
      </c>
      <c r="W8" s="33"/>
      <c r="AA8" s="32" t="s">
        <v>592</v>
      </c>
    </row>
    <row r="9" spans="1:27" x14ac:dyDescent="0.25">
      <c r="A9" s="3" t="s">
        <v>593</v>
      </c>
      <c r="D9" s="3" t="s">
        <v>593</v>
      </c>
      <c r="E9" s="2">
        <v>8</v>
      </c>
      <c r="L9" s="23" t="s">
        <v>551</v>
      </c>
      <c r="U9" s="32" t="s">
        <v>594</v>
      </c>
      <c r="V9" s="32">
        <v>1.5</v>
      </c>
      <c r="W9" s="33"/>
    </row>
    <row r="10" spans="1:27" x14ac:dyDescent="0.25">
      <c r="A10" s="3" t="s">
        <v>532</v>
      </c>
      <c r="D10" s="3" t="s">
        <v>532</v>
      </c>
      <c r="E10" s="2">
        <v>9</v>
      </c>
      <c r="L10" s="23" t="s">
        <v>595</v>
      </c>
      <c r="U10" s="32" t="s">
        <v>596</v>
      </c>
      <c r="V10" s="32">
        <v>1.75</v>
      </c>
      <c r="W10" s="33"/>
    </row>
    <row r="11" spans="1:27" x14ac:dyDescent="0.25">
      <c r="A11" s="3" t="s">
        <v>597</v>
      </c>
      <c r="D11" s="3" t="s">
        <v>597</v>
      </c>
      <c r="E11" s="2">
        <v>10</v>
      </c>
      <c r="L11" s="23" t="s">
        <v>62</v>
      </c>
      <c r="U11" s="32" t="s">
        <v>598</v>
      </c>
      <c r="V11" s="32">
        <v>1.88</v>
      </c>
    </row>
    <row r="12" spans="1:27" x14ac:dyDescent="0.25">
      <c r="A12" s="3" t="s">
        <v>533</v>
      </c>
      <c r="D12" s="3" t="s">
        <v>533</v>
      </c>
      <c r="E12" s="2">
        <v>11</v>
      </c>
      <c r="L12" s="23"/>
      <c r="U12" s="32" t="s">
        <v>599</v>
      </c>
      <c r="V12" s="32">
        <v>2</v>
      </c>
    </row>
    <row r="13" spans="1:27" x14ac:dyDescent="0.25">
      <c r="A13" s="3" t="s">
        <v>600</v>
      </c>
      <c r="D13" s="3" t="s">
        <v>600</v>
      </c>
      <c r="E13" s="2">
        <v>12</v>
      </c>
      <c r="U13" s="32" t="s">
        <v>601</v>
      </c>
      <c r="V13" s="32">
        <v>3</v>
      </c>
    </row>
    <row r="14" spans="1:27" x14ac:dyDescent="0.25">
      <c r="A14" s="4"/>
      <c r="U14" s="32" t="s">
        <v>602</v>
      </c>
      <c r="V14" s="32">
        <v>3</v>
      </c>
    </row>
    <row r="15" spans="1:27" x14ac:dyDescent="0.25">
      <c r="A15" s="3"/>
      <c r="U15" s="32" t="s">
        <v>603</v>
      </c>
      <c r="V15" s="32">
        <v>3</v>
      </c>
    </row>
    <row r="16" spans="1:27" x14ac:dyDescent="0.25">
      <c r="A16" s="3"/>
      <c r="U16" s="32" t="s">
        <v>604</v>
      </c>
      <c r="V16" s="32">
        <v>3</v>
      </c>
    </row>
    <row r="17" spans="1:22" x14ac:dyDescent="0.25">
      <c r="A17" s="3"/>
      <c r="U17" s="32" t="s">
        <v>605</v>
      </c>
      <c r="V17" s="32">
        <v>3</v>
      </c>
    </row>
    <row r="18" spans="1:22" x14ac:dyDescent="0.25">
      <c r="A18" s="3"/>
      <c r="U18" s="32" t="s">
        <v>606</v>
      </c>
      <c r="V18" s="32">
        <v>3</v>
      </c>
    </row>
    <row r="19" spans="1:22" x14ac:dyDescent="0.25">
      <c r="A19" s="3"/>
      <c r="U19" s="32" t="s">
        <v>607</v>
      </c>
      <c r="V19" s="32">
        <v>3</v>
      </c>
    </row>
    <row r="20" spans="1:22" x14ac:dyDescent="0.25">
      <c r="A20" s="3"/>
    </row>
    <row r="21" spans="1:22" x14ac:dyDescent="0.25">
      <c r="A21" s="3"/>
    </row>
    <row r="29" spans="1:22" x14ac:dyDescent="0.25">
      <c r="A29" s="1" t="s">
        <v>608</v>
      </c>
      <c r="B29" s="1"/>
    </row>
    <row r="30" spans="1:22" x14ac:dyDescent="0.25">
      <c r="A30" s="6" t="s">
        <v>609</v>
      </c>
      <c r="B30" s="7" t="s">
        <v>610</v>
      </c>
      <c r="C30" s="8"/>
      <c r="D30" s="8"/>
      <c r="E30" s="9"/>
      <c r="F30" s="7" t="s">
        <v>611</v>
      </c>
      <c r="G30" s="8"/>
      <c r="H30" s="8"/>
      <c r="I30" s="9"/>
      <c r="J30" s="25" t="s">
        <v>612</v>
      </c>
    </row>
    <row r="31" spans="1:22" x14ac:dyDescent="0.25">
      <c r="A31" s="10"/>
      <c r="B31" s="11" t="s">
        <v>613</v>
      </c>
      <c r="C31" s="12" t="s">
        <v>605</v>
      </c>
      <c r="D31" s="12" t="s">
        <v>614</v>
      </c>
      <c r="E31" s="13" t="s">
        <v>615</v>
      </c>
      <c r="F31" s="11" t="s">
        <v>613</v>
      </c>
      <c r="G31" s="12" t="s">
        <v>605</v>
      </c>
      <c r="H31" s="12" t="s">
        <v>614</v>
      </c>
      <c r="I31" s="13" t="s">
        <v>615</v>
      </c>
      <c r="J31" s="26"/>
    </row>
    <row r="32" spans="1:22" x14ac:dyDescent="0.25">
      <c r="A32" s="3" t="s">
        <v>51</v>
      </c>
      <c r="B32" s="14">
        <v>0.5</v>
      </c>
      <c r="C32" s="2">
        <v>1.5</v>
      </c>
      <c r="D32" s="2">
        <v>3.9</v>
      </c>
      <c r="E32" s="15">
        <v>6.5</v>
      </c>
      <c r="F32" s="14">
        <v>0.96</v>
      </c>
      <c r="G32" s="2">
        <v>3.2</v>
      </c>
      <c r="H32" s="2">
        <v>6.4</v>
      </c>
      <c r="I32" s="15">
        <v>12.8</v>
      </c>
      <c r="J32" s="27">
        <v>1</v>
      </c>
    </row>
    <row r="33" spans="1:10" x14ac:dyDescent="0.25">
      <c r="A33" s="3" t="s">
        <v>572</v>
      </c>
      <c r="B33" s="14">
        <v>0.5</v>
      </c>
      <c r="C33" s="2">
        <v>1</v>
      </c>
      <c r="D33" s="2">
        <v>2.5</v>
      </c>
      <c r="E33" s="15">
        <v>4</v>
      </c>
      <c r="F33" s="14">
        <v>1</v>
      </c>
      <c r="G33" s="2">
        <v>2</v>
      </c>
      <c r="H33" s="2">
        <v>4</v>
      </c>
      <c r="I33" s="15">
        <v>6</v>
      </c>
      <c r="J33" s="28">
        <v>1</v>
      </c>
    </row>
    <row r="34" spans="1:10" x14ac:dyDescent="0.25">
      <c r="A34" s="3" t="s">
        <v>57</v>
      </c>
      <c r="B34" s="14">
        <v>0.7</v>
      </c>
      <c r="C34" s="2">
        <v>2.4</v>
      </c>
      <c r="D34" s="2">
        <v>3.6</v>
      </c>
      <c r="E34" s="15">
        <v>7.2</v>
      </c>
      <c r="F34" s="14">
        <v>1.4</v>
      </c>
      <c r="G34" s="2">
        <v>3.6</v>
      </c>
      <c r="H34" s="2">
        <v>7.2</v>
      </c>
      <c r="I34" s="15">
        <v>12</v>
      </c>
      <c r="J34" s="28">
        <v>1.2</v>
      </c>
    </row>
    <row r="35" spans="1:10" x14ac:dyDescent="0.25">
      <c r="A35" s="3" t="s">
        <v>64</v>
      </c>
      <c r="B35" s="14">
        <v>0.5</v>
      </c>
      <c r="C35" s="2">
        <v>2</v>
      </c>
      <c r="D35" s="2">
        <v>3</v>
      </c>
      <c r="E35" s="15">
        <v>6</v>
      </c>
      <c r="F35" s="14">
        <v>1</v>
      </c>
      <c r="G35" s="2">
        <v>3</v>
      </c>
      <c r="H35" s="2">
        <v>6</v>
      </c>
      <c r="I35" s="15">
        <v>10</v>
      </c>
      <c r="J35" s="28">
        <v>1</v>
      </c>
    </row>
    <row r="36" spans="1:10" x14ac:dyDescent="0.25">
      <c r="A36" s="4" t="s">
        <v>63</v>
      </c>
      <c r="B36" s="16">
        <v>0.7</v>
      </c>
      <c r="C36" s="17">
        <v>2.4</v>
      </c>
      <c r="D36" s="17">
        <v>3.6</v>
      </c>
      <c r="E36" s="18">
        <v>7.2</v>
      </c>
      <c r="F36" s="16">
        <v>1.4</v>
      </c>
      <c r="G36" s="17">
        <v>3.6</v>
      </c>
      <c r="H36" s="17">
        <v>7.2</v>
      </c>
      <c r="I36" s="18">
        <v>12</v>
      </c>
      <c r="J36" s="27">
        <v>1.2</v>
      </c>
    </row>
    <row r="37" spans="1:10" x14ac:dyDescent="0.25">
      <c r="A37" s="5" t="s">
        <v>65</v>
      </c>
      <c r="B37" s="14">
        <v>0.7</v>
      </c>
      <c r="C37" s="2">
        <v>2.4</v>
      </c>
      <c r="D37" s="2">
        <v>3.6</v>
      </c>
      <c r="E37" s="15">
        <v>7.2</v>
      </c>
      <c r="F37" s="14">
        <v>1.4</v>
      </c>
      <c r="G37" s="2">
        <v>3.6</v>
      </c>
      <c r="H37" s="2">
        <v>7.2</v>
      </c>
      <c r="I37" s="15">
        <v>12</v>
      </c>
      <c r="J37" s="28">
        <v>1.2</v>
      </c>
    </row>
    <row r="38" spans="1:10" x14ac:dyDescent="0.25">
      <c r="A38" s="3" t="s">
        <v>590</v>
      </c>
      <c r="B38" s="14">
        <v>0.25</v>
      </c>
      <c r="C38" s="2">
        <v>0.75</v>
      </c>
      <c r="D38" s="2">
        <v>1.5</v>
      </c>
      <c r="E38" s="15">
        <v>2.5</v>
      </c>
      <c r="F38" s="14">
        <v>0.5</v>
      </c>
      <c r="G38" s="2">
        <v>1</v>
      </c>
      <c r="H38" s="2">
        <v>2.5</v>
      </c>
      <c r="I38" s="15">
        <v>5</v>
      </c>
      <c r="J38" s="28">
        <v>0</v>
      </c>
    </row>
    <row r="39" spans="1:10" x14ac:dyDescent="0.25">
      <c r="A39" s="3" t="s">
        <v>593</v>
      </c>
      <c r="B39" s="14">
        <v>0.5</v>
      </c>
      <c r="C39" s="2">
        <v>2</v>
      </c>
      <c r="D39" s="2">
        <v>3</v>
      </c>
      <c r="E39" s="15">
        <v>6</v>
      </c>
      <c r="F39" s="14">
        <v>1</v>
      </c>
      <c r="G39" s="2">
        <v>3</v>
      </c>
      <c r="H39" s="2">
        <v>6</v>
      </c>
      <c r="I39" s="15">
        <v>10</v>
      </c>
      <c r="J39" s="28">
        <v>0</v>
      </c>
    </row>
    <row r="40" spans="1:10" x14ac:dyDescent="0.25">
      <c r="A40" s="3" t="s">
        <v>532</v>
      </c>
      <c r="B40" s="14">
        <v>0.5</v>
      </c>
      <c r="C40" s="2">
        <v>1</v>
      </c>
      <c r="D40" s="2">
        <v>2</v>
      </c>
      <c r="E40" s="15">
        <v>3.5</v>
      </c>
      <c r="F40" s="14">
        <v>0.5</v>
      </c>
      <c r="G40" s="2">
        <v>1.5</v>
      </c>
      <c r="H40" s="2">
        <v>3</v>
      </c>
      <c r="I40" s="15">
        <v>6</v>
      </c>
      <c r="J40" s="28">
        <v>1</v>
      </c>
    </row>
    <row r="41" spans="1:10" x14ac:dyDescent="0.25">
      <c r="A41" s="3" t="s">
        <v>597</v>
      </c>
      <c r="B41" s="14">
        <v>0.25</v>
      </c>
      <c r="C41" s="2">
        <v>1</v>
      </c>
      <c r="D41" s="2">
        <v>2</v>
      </c>
      <c r="E41" s="15">
        <v>3</v>
      </c>
      <c r="F41" s="14">
        <v>0.5</v>
      </c>
      <c r="G41" s="2">
        <v>1.5</v>
      </c>
      <c r="H41" s="2">
        <v>2.5</v>
      </c>
      <c r="I41" s="15">
        <v>5</v>
      </c>
      <c r="J41" s="28">
        <v>1</v>
      </c>
    </row>
    <row r="42" spans="1:10" x14ac:dyDescent="0.25">
      <c r="A42" s="3" t="s">
        <v>533</v>
      </c>
      <c r="B42" s="14">
        <v>0.5</v>
      </c>
      <c r="C42" s="2">
        <v>1</v>
      </c>
      <c r="D42" s="2">
        <v>2.5</v>
      </c>
      <c r="E42" s="15">
        <v>4</v>
      </c>
      <c r="F42" s="14">
        <v>1</v>
      </c>
      <c r="G42" s="2">
        <v>2</v>
      </c>
      <c r="H42" s="2">
        <v>4</v>
      </c>
      <c r="I42" s="15">
        <v>6</v>
      </c>
      <c r="J42" s="28">
        <v>1</v>
      </c>
    </row>
    <row r="43" spans="1:10" x14ac:dyDescent="0.25">
      <c r="A43" s="3" t="s">
        <v>600</v>
      </c>
      <c r="B43" s="14">
        <v>0.5</v>
      </c>
      <c r="C43" s="2">
        <v>1</v>
      </c>
      <c r="D43" s="2">
        <v>2.5</v>
      </c>
      <c r="E43" s="15">
        <v>4</v>
      </c>
      <c r="F43" s="14">
        <v>1</v>
      </c>
      <c r="G43" s="2">
        <v>2</v>
      </c>
      <c r="H43" s="2">
        <v>4</v>
      </c>
      <c r="I43" s="15">
        <v>6</v>
      </c>
      <c r="J43" s="28">
        <v>1</v>
      </c>
    </row>
    <row r="44" spans="1:10" x14ac:dyDescent="0.25">
      <c r="B44" s="2">
        <f t="shared" ref="B44:J44" si="0">SUM(B32:B43)</f>
        <v>6.1000000000000005</v>
      </c>
      <c r="C44" s="2">
        <f t="shared" si="0"/>
        <v>18.450000000000003</v>
      </c>
      <c r="D44" s="2">
        <f t="shared" si="0"/>
        <v>33.700000000000003</v>
      </c>
      <c r="E44" s="2">
        <f t="shared" si="0"/>
        <v>61.1</v>
      </c>
      <c r="F44" s="2">
        <f t="shared" si="0"/>
        <v>11.66</v>
      </c>
      <c r="G44" s="2">
        <f t="shared" si="0"/>
        <v>30</v>
      </c>
      <c r="H44" s="2">
        <f t="shared" si="0"/>
        <v>60</v>
      </c>
      <c r="I44" s="2">
        <f t="shared" si="0"/>
        <v>102.8</v>
      </c>
      <c r="J44" s="2">
        <f t="shared" si="0"/>
        <v>10.600000000000001</v>
      </c>
    </row>
  </sheetData>
  <phoneticPr fontId="17" type="noConversion"/>
  <pageMargins left="0.75" right="0.75" top="1" bottom="1" header="0.5" footer="0.5"/>
  <pageSetup paperSize="9" orientation="portrait" r:id="rId1"/>
  <headerFooter alignWithMargins="0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CDateCreated xmlns="http://schemas.microsoft.com/sharepoint/v3/fields">2015-01-28T05:09:16+00:00</_DCDateCreated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42BF25B8D0CF3E498A12B8CF17257F30" ma:contentTypeVersion="5" ma:contentTypeDescription="新建文档。" ma:contentTypeScope="" ma:versionID="be61726b9bc050261b15f0e63b03a0a3">
  <xsd:schema xmlns:xsd="http://www.w3.org/2001/XMLSchema" xmlns:xs="http://www.w3.org/2001/XMLSchema" xmlns:p="http://schemas.microsoft.com/office/2006/metadata/properties" xmlns:ns1="http://schemas.microsoft.com/sharepoint/v3" xmlns:ns2="http://schemas.microsoft.com/sharepoint/v3/fields" targetNamespace="http://schemas.microsoft.com/office/2006/metadata/properties" ma:root="true" ma:fieldsID="37d71da523c0b58e2cfc3c6d6ba8f67f" ns1:_="" ns2:_="">
    <xsd:import namespace="http://schemas.microsoft.com/sharepoint/v3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_DCDateCreated" minOccurs="0"/>
                <xsd:element ref="ns1:_dlc_ExpireDateSaved" minOccurs="0"/>
                <xsd:element ref="ns1:_dlc_ExpireDate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pireDateSaved" ma:index="9" nillable="true" ma:displayName="原始过期日期" ma:hidden="true" ma:internalName="_dlc_ExpireDateSaved" ma:readOnly="true">
      <xsd:simpleType>
        <xsd:restriction base="dms:DateTime"/>
      </xsd:simpleType>
    </xsd:element>
    <xsd:element name="_dlc_ExpireDate" ma:index="10" nillable="true" ma:displayName="到期日期" ma:hidden="true" ma:internalName="_dlc_ExpireDate" ma:readOnly="true">
      <xsd:simpleType>
        <xsd:restriction base="dms:DateTime"/>
      </xsd:simpleType>
    </xsd:element>
    <xsd:element name="_dlc_Exempt" ma:index="11" nillable="true" ma:displayName="策略例外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Created" ma:index="8" nillable="true" ma:displayName="创建日期" ma:default="[today]" ma:description="此资源的创建日期" ma:format="DateOnly" ma:internalName="_x521b__x5efa__x65e5__x671f_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9332DB-2004-4120-B8CC-2AB83F501032}">
  <ds:schemaRefs>
    <ds:schemaRef ds:uri="http://purl.org/dc/terms/"/>
    <ds:schemaRef ds:uri="http://schemas.microsoft.com/office/2006/documentManagement/types"/>
    <ds:schemaRef ds:uri="http://www.w3.org/XML/1998/namespace"/>
    <ds:schemaRef ds:uri="http://schemas.microsoft.com/sharepoint/v3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sharepoint/v3/field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BC31369-A0B0-4FDB-B432-866B1DC6594D}">
  <ds:schemaRefs/>
</ds:datastoreItem>
</file>

<file path=customXml/itemProps3.xml><?xml version="1.0" encoding="utf-8"?>
<ds:datastoreItem xmlns:ds="http://schemas.openxmlformats.org/officeDocument/2006/customXml" ds:itemID="{2B8D377C-69FF-49F0-9077-069B9A80901B}">
  <ds:schemaRefs/>
</ds:datastoreItem>
</file>

<file path=customXml/itemProps4.xml><?xml version="1.0" encoding="utf-8"?>
<ds:datastoreItem xmlns:ds="http://schemas.openxmlformats.org/officeDocument/2006/customXml" ds:itemID="{AD9BB083-7679-4507-B48D-7F48ED28A49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18</vt:i4>
      </vt:variant>
    </vt:vector>
  </HeadingPairs>
  <TitlesOfParts>
    <vt:vector size="24" baseType="lpstr">
      <vt:lpstr>开发清单</vt:lpstr>
      <vt:lpstr>标准化产品清单</vt:lpstr>
      <vt:lpstr>说明和分析</vt:lpstr>
      <vt:lpstr>附 人天说明</vt:lpstr>
      <vt:lpstr>进度分析</vt:lpstr>
      <vt:lpstr>Lookups</vt:lpstr>
      <vt:lpstr>Build_Days</vt:lpstr>
      <vt:lpstr>Check_Status</vt:lpstr>
      <vt:lpstr>Design_Days</vt:lpstr>
      <vt:lpstr>DevTypes</vt:lpstr>
      <vt:lpstr>Division</vt:lpstr>
      <vt:lpstr>Index_Cols</vt:lpstr>
      <vt:lpstr>Index_Rows</vt:lpstr>
      <vt:lpstr>LU_Level_Metrics</vt:lpstr>
      <vt:lpstr>LU_Ratings</vt:lpstr>
      <vt:lpstr>LU_Types</vt:lpstr>
      <vt:lpstr>Mode</vt:lpstr>
      <vt:lpstr>Resource_Level</vt:lpstr>
      <vt:lpstr>Resource_Rows</vt:lpstr>
      <vt:lpstr>Resources</vt:lpstr>
      <vt:lpstr>Status</vt:lpstr>
      <vt:lpstr>Upgrade_Days</vt:lpstr>
      <vt:lpstr>XDATA</vt:lpstr>
      <vt:lpstr>Yes_no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</cp:lastModifiedBy>
  <dcterms:created xsi:type="dcterms:W3CDTF">2008-08-14T03:30:00Z</dcterms:created>
  <dcterms:modified xsi:type="dcterms:W3CDTF">2025-09-05T09:06:07Z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temRetentionFormula">
    <vt:lpwstr/>
  </property>
  <property fmtid="{D5CDD505-2E9C-101B-9397-08002B2CF9AE}" pid="3" name="_dlc_policyId">
    <vt:lpwstr/>
  </property>
  <property fmtid="{D5CDD505-2E9C-101B-9397-08002B2CF9AE}" pid="4" name="ContentTypeId">
    <vt:lpwstr>0x01010042BF25B8D0CF3E498A12B8CF17257F30</vt:lpwstr>
  </property>
  <property fmtid="{D5CDD505-2E9C-101B-9397-08002B2CF9AE}" pid="5" name="ICV">
    <vt:lpwstr>970D3E1B1A004ED1B989C2F85FBA8B48</vt:lpwstr>
  </property>
  <property fmtid="{D5CDD505-2E9C-101B-9397-08002B2CF9AE}" pid="6" name="KSOProductBuildVer">
    <vt:lpwstr>2052-12.1.0.16929</vt:lpwstr>
  </property>
</Properties>
</file>